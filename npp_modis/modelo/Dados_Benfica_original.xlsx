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PGCTA\RODANDO\"/>
    </mc:Choice>
  </mc:AlternateContent>
  <xr:revisionPtr revIDLastSave="0" documentId="13_ncr:1_{0EF49B3B-2CAB-4889-B5BE-2B71F90EF200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Dados graficos" sheetId="1" r:id="rId1"/>
  </sheets>
  <calcPr calcId="181029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" i="1"/>
</calcChain>
</file>

<file path=xl/sharedStrings.xml><?xml version="1.0" encoding="utf-8"?>
<sst xmlns="http://schemas.openxmlformats.org/spreadsheetml/2006/main" count="22" uniqueCount="22">
  <si>
    <t>ANO</t>
  </si>
  <si>
    <t>NP_MA</t>
  </si>
  <si>
    <t>NP_CE</t>
  </si>
  <si>
    <t>NP_CA</t>
  </si>
  <si>
    <t xml:space="preserve"> WAI_MA</t>
  </si>
  <si>
    <t>WAI_CE</t>
  </si>
  <si>
    <t>WAI_CA</t>
  </si>
  <si>
    <t>EV_MA</t>
  </si>
  <si>
    <t>EV_CE</t>
  </si>
  <si>
    <t>EV_CA</t>
  </si>
  <si>
    <t>PRE_MA</t>
  </si>
  <si>
    <t>PRE_CE</t>
  </si>
  <si>
    <t>PRE_CA</t>
  </si>
  <si>
    <t>TST_MA</t>
  </si>
  <si>
    <t>TST_CE</t>
  </si>
  <si>
    <t>TST_CA</t>
  </si>
  <si>
    <t>BURN_MA</t>
  </si>
  <si>
    <t>BURN_CE</t>
  </si>
  <si>
    <t>BURN_CA</t>
  </si>
  <si>
    <t>ONI</t>
  </si>
  <si>
    <t>Enso</t>
  </si>
  <si>
    <t>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</si>
</sst>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41"/>
  <sheetViews>
    <sheetView tabSelected="1" workbookViewId="0">
      <selection activeCell="X18" sqref="X18"/>
    </sheetView>
  </sheetViews>
  <sheetFormatPr defaultRowHeight="15" x14ac:dyDescent="0.25"/>
  <cols>
    <col min="1" max="1" width="5.140625" customWidth="1"/>
    <col min="2" max="2" width="10.28515625" style="3" customWidth="1"/>
    <col min="3" max="3" width="9.140625" style="3"/>
    <col min="6" max="6" width="9.140625" style="3"/>
    <col min="8" max="10" width="11.28515625" customWidth="1"/>
    <col min="19" max="19" width="9.5703125" customWidth="1"/>
    <col min="20" max="20" width="12.140625" customWidth="1"/>
    <col min="21" max="21" width="11.42578125" customWidth="1"/>
    <col min="22" max="22" width="11.28515625" customWidth="1"/>
  </cols>
  <sheetData>
    <row r="1" spans="1:22" x14ac:dyDescent="0.25">
      <c r="A1" s="1" t="s">
        <v>21</v>
      </c>
      <c r="B1" s="1" t="s">
        <v>0</v>
      </c>
      <c r="C1" s="1" t="s">
        <v>19</v>
      </c>
      <c r="D1" s="1" t="s">
        <v>20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</row>
    <row r="2" spans="1:22" x14ac:dyDescent="0.25">
      <c r="A2" s="3">
        <v>1</v>
      </c>
      <c r="B2" s="3">
        <v>2001</v>
      </c>
      <c r="C2" s="2">
        <v>-0.68</v>
      </c>
      <c r="D2" t="str">
        <f>IF(C2&gt;=0.5,"El Niño",IF(C2&lt;=-0.5,"La Niña","Neutro"))</f>
        <v>La Niña</v>
      </c>
      <c r="E2" s="2">
        <v>160.18610294089299</v>
      </c>
      <c r="F2" s="2">
        <v>132.98588818537311</v>
      </c>
      <c r="G2" s="2">
        <v>133.07224490755479</v>
      </c>
      <c r="H2" s="4">
        <v>0.54953490000000005</v>
      </c>
      <c r="I2" s="4">
        <v>0.4032326</v>
      </c>
      <c r="J2" s="3">
        <v>0.46989799999999998</v>
      </c>
      <c r="K2" s="3">
        <v>107.29748023147251</v>
      </c>
      <c r="L2" s="3">
        <v>95.594442953507667</v>
      </c>
      <c r="M2" s="3">
        <v>106.99313488571811</v>
      </c>
      <c r="N2" s="3">
        <v>51.3</v>
      </c>
      <c r="O2" s="3">
        <v>59.99</v>
      </c>
      <c r="P2" s="3">
        <v>32.409999999999997</v>
      </c>
      <c r="Q2" s="3">
        <v>29.090759966666681</v>
      </c>
      <c r="R2" s="3">
        <v>31.19753333333335</v>
      </c>
      <c r="S2" s="3">
        <v>29.805733333333361</v>
      </c>
      <c r="T2" s="3">
        <v>5300</v>
      </c>
      <c r="U2" s="3">
        <v>7000</v>
      </c>
      <c r="V2" s="3">
        <v>6275</v>
      </c>
    </row>
    <row r="3" spans="1:22" x14ac:dyDescent="0.25">
      <c r="A3" s="3">
        <v>2</v>
      </c>
      <c r="B3" s="3">
        <v>2001</v>
      </c>
      <c r="C3" s="2">
        <v>-0.52</v>
      </c>
      <c r="D3" t="str">
        <f>IF(C3&gt;=0.5,"El Niño",IF(C3&lt;=-0.5,"La Niña","Neutro"))</f>
        <v>La Niña</v>
      </c>
      <c r="E3" s="2">
        <v>133.48540462817689</v>
      </c>
      <c r="F3" s="2">
        <v>83.980738126657073</v>
      </c>
      <c r="G3" s="2">
        <v>75.469647989545052</v>
      </c>
      <c r="H3" s="4">
        <v>0.4433571</v>
      </c>
      <c r="I3" s="4">
        <v>0.32243699999999997</v>
      </c>
      <c r="J3" s="3">
        <v>0.30682559999999998</v>
      </c>
      <c r="K3" s="3">
        <v>104.9692813553111</v>
      </c>
      <c r="L3" s="3">
        <v>83.974927308424142</v>
      </c>
      <c r="M3" s="3">
        <v>78.621454861691163</v>
      </c>
      <c r="N3" s="3">
        <v>44.28</v>
      </c>
      <c r="O3" s="3">
        <v>102.81</v>
      </c>
      <c r="P3" s="3">
        <v>34.950000000000003</v>
      </c>
      <c r="Q3" s="3">
        <v>32.017844575000026</v>
      </c>
      <c r="R3" s="3">
        <v>31.35940000000004</v>
      </c>
      <c r="S3" s="3">
        <v>33.484450000000017</v>
      </c>
      <c r="T3" s="3">
        <v>11225</v>
      </c>
      <c r="U3" s="3">
        <v>1700</v>
      </c>
      <c r="V3" s="3">
        <v>425</v>
      </c>
    </row>
    <row r="4" spans="1:22" x14ac:dyDescent="0.25">
      <c r="A4" s="3">
        <v>3</v>
      </c>
      <c r="B4" s="3">
        <v>2001</v>
      </c>
      <c r="C4" s="2">
        <v>-0.44</v>
      </c>
      <c r="D4" t="str">
        <f>IF(C4&gt;=0.5,"El Niño",IF(C4&lt;=-0.5,"La Niña","Neutro"))</f>
        <v>Neutro</v>
      </c>
      <c r="E4" s="2">
        <v>125.17548619757839</v>
      </c>
      <c r="F4" s="2">
        <v>99.963581958249094</v>
      </c>
      <c r="G4" s="2">
        <v>93.803469047481869</v>
      </c>
      <c r="H4" s="4">
        <v>0.55979389999999996</v>
      </c>
      <c r="I4" s="4">
        <v>0.43040279999999997</v>
      </c>
      <c r="J4" s="3">
        <v>0.38007560000000001</v>
      </c>
      <c r="K4" s="3">
        <v>98.55505717621422</v>
      </c>
      <c r="L4" s="3">
        <v>89.241258951505984</v>
      </c>
      <c r="M4" s="3">
        <v>80.766284329943787</v>
      </c>
      <c r="N4" s="3">
        <v>113.51</v>
      </c>
      <c r="O4" s="3">
        <v>160.97999999999999</v>
      </c>
      <c r="P4" s="3">
        <v>97.51</v>
      </c>
      <c r="Q4" s="3">
        <v>29.150534700000019</v>
      </c>
      <c r="R4" s="3">
        <v>30.24865000000003</v>
      </c>
      <c r="S4" s="3">
        <v>31.595100000000031</v>
      </c>
      <c r="T4" s="3">
        <v>100</v>
      </c>
      <c r="U4" s="3">
        <v>11950</v>
      </c>
      <c r="V4" s="3">
        <v>775</v>
      </c>
    </row>
    <row r="5" spans="1:22" x14ac:dyDescent="0.25">
      <c r="A5" s="3">
        <v>4</v>
      </c>
      <c r="B5" s="3">
        <v>2001</v>
      </c>
      <c r="C5" s="2">
        <v>-0.34</v>
      </c>
      <c r="D5" t="str">
        <f>IF(C5&gt;=0.5,"El Niño",IF(C5&lt;=-0.5,"La Niña","Neutro"))</f>
        <v>Neutro</v>
      </c>
      <c r="E5" s="2">
        <v>134.06813839814041</v>
      </c>
      <c r="F5" s="2">
        <v>82.858681492960145</v>
      </c>
      <c r="G5" s="2">
        <v>88.866640324354037</v>
      </c>
      <c r="H5" s="4">
        <v>0.5786133</v>
      </c>
      <c r="I5" s="4">
        <v>0.29756559999999999</v>
      </c>
      <c r="J5" s="3">
        <v>0.31651400000000002</v>
      </c>
      <c r="K5" s="3">
        <v>111.54114465475</v>
      </c>
      <c r="L5" s="3">
        <v>72.825207279448406</v>
      </c>
      <c r="M5" s="3">
        <v>68.346382235002295</v>
      </c>
      <c r="N5" s="3">
        <v>75.489999999999995</v>
      </c>
      <c r="O5" s="3">
        <v>40.549999999999997</v>
      </c>
      <c r="P5" s="3">
        <v>24.82</v>
      </c>
      <c r="Q5" s="3">
        <v>27.859484500000018</v>
      </c>
      <c r="R5" s="3">
        <v>30.78170000000004</v>
      </c>
      <c r="S5" s="3">
        <v>31.697800000000019</v>
      </c>
      <c r="T5" s="3">
        <v>0</v>
      </c>
      <c r="U5" s="3">
        <v>14775</v>
      </c>
      <c r="V5" s="3">
        <v>450</v>
      </c>
    </row>
    <row r="6" spans="1:22" x14ac:dyDescent="0.25">
      <c r="A6" s="3">
        <v>5</v>
      </c>
      <c r="B6" s="3">
        <v>2001</v>
      </c>
      <c r="C6" s="2">
        <v>-0.25</v>
      </c>
      <c r="D6" t="str">
        <f>IF(C6&gt;=0.5,"El Niño",IF(C6&lt;=-0.5,"La Niña","Neutro"))</f>
        <v>Neutro</v>
      </c>
      <c r="E6" s="2">
        <v>112.17247610934</v>
      </c>
      <c r="F6" s="2">
        <v>49.801824836664608</v>
      </c>
      <c r="G6" s="2">
        <v>61.609535917170611</v>
      </c>
      <c r="H6" s="4">
        <v>0.60820929999999995</v>
      </c>
      <c r="I6" s="4">
        <v>0.19777729999999999</v>
      </c>
      <c r="J6" s="3">
        <v>0.21809329999999999</v>
      </c>
      <c r="K6" s="3">
        <v>97.912707406302928</v>
      </c>
      <c r="L6" s="3">
        <v>43.984815784110559</v>
      </c>
      <c r="M6" s="3">
        <v>43.869315261646051</v>
      </c>
      <c r="N6" s="3">
        <v>109.85</v>
      </c>
      <c r="O6" s="3">
        <v>22.57</v>
      </c>
      <c r="P6" s="3">
        <v>20.86</v>
      </c>
      <c r="Q6" s="3">
        <v>27.786738425000021</v>
      </c>
      <c r="R6" s="3">
        <v>30.726950000000031</v>
      </c>
      <c r="S6" s="3">
        <v>32.861600000000017</v>
      </c>
      <c r="T6" s="3">
        <v>0</v>
      </c>
      <c r="U6" s="3">
        <v>5650</v>
      </c>
      <c r="V6" s="3">
        <v>275</v>
      </c>
    </row>
    <row r="7" spans="1:22" x14ac:dyDescent="0.25">
      <c r="A7" s="3">
        <v>6</v>
      </c>
      <c r="B7" s="3">
        <v>2001</v>
      </c>
      <c r="C7" s="2">
        <v>-0.12</v>
      </c>
      <c r="D7" t="str">
        <f>IF(C7&gt;=0.5,"El Niño",IF(C7&lt;=-0.5,"La Niña","Neutro"))</f>
        <v>Neutro</v>
      </c>
      <c r="E7" s="2">
        <v>127.6460807367459</v>
      </c>
      <c r="F7" s="2">
        <v>71.536850239908318</v>
      </c>
      <c r="G7" s="2">
        <v>76.524587866381182</v>
      </c>
      <c r="H7" s="4">
        <v>0.64892620000000001</v>
      </c>
      <c r="I7" s="4">
        <v>0.190189</v>
      </c>
      <c r="J7" s="3">
        <v>0.2369869</v>
      </c>
      <c r="K7" s="3">
        <v>71.262133695082284</v>
      </c>
      <c r="L7" s="3">
        <v>35.719301353748179</v>
      </c>
      <c r="M7" s="3">
        <v>33.046572689711397</v>
      </c>
      <c r="N7" s="3">
        <v>113.79</v>
      </c>
      <c r="O7" s="3">
        <v>1.46</v>
      </c>
      <c r="P7" s="3">
        <v>38.9</v>
      </c>
      <c r="Q7" s="3">
        <v>24.210446850000011</v>
      </c>
      <c r="R7" s="3">
        <v>29.413100000000011</v>
      </c>
      <c r="S7" s="3">
        <v>29.456000000000021</v>
      </c>
      <c r="T7" s="3">
        <v>0</v>
      </c>
      <c r="U7" s="3">
        <v>10875</v>
      </c>
      <c r="V7" s="3">
        <v>3350</v>
      </c>
    </row>
    <row r="8" spans="1:22" x14ac:dyDescent="0.25">
      <c r="A8" s="3">
        <v>7</v>
      </c>
      <c r="B8" s="3">
        <v>2001</v>
      </c>
      <c r="C8" s="2">
        <v>-0.08</v>
      </c>
      <c r="D8" t="str">
        <f>IF(C8&gt;=0.5,"El Niño",IF(C8&lt;=-0.5,"La Niña","Neutro"))</f>
        <v>Neutro</v>
      </c>
      <c r="E8" s="2">
        <v>134.58846849208399</v>
      </c>
      <c r="F8" s="2">
        <v>58.760497451604706</v>
      </c>
      <c r="G8" s="2">
        <v>75.429776337490239</v>
      </c>
      <c r="H8" s="4">
        <v>0.58524580000000004</v>
      </c>
      <c r="I8" s="4">
        <v>0.12520419999999999</v>
      </c>
      <c r="J8" s="3">
        <v>0.2054677</v>
      </c>
      <c r="K8" s="3">
        <v>82.39359903169786</v>
      </c>
      <c r="L8" s="3">
        <v>27.95634025912706</v>
      </c>
      <c r="M8" s="3">
        <v>33.645065033830143</v>
      </c>
      <c r="N8" s="3">
        <v>95.78</v>
      </c>
      <c r="O8" s="3">
        <v>2.25</v>
      </c>
      <c r="P8" s="3">
        <v>21.09</v>
      </c>
      <c r="Q8" s="3">
        <v>24.342409175000011</v>
      </c>
      <c r="R8" s="3">
        <v>30.37790000000005</v>
      </c>
      <c r="S8" s="3">
        <v>29.515400000000032</v>
      </c>
      <c r="T8" s="3">
        <v>0</v>
      </c>
      <c r="U8" s="3">
        <v>65850</v>
      </c>
      <c r="V8" s="3">
        <v>2950</v>
      </c>
    </row>
    <row r="9" spans="1:22" x14ac:dyDescent="0.25">
      <c r="A9" s="3">
        <v>8</v>
      </c>
      <c r="B9" s="3">
        <v>2001</v>
      </c>
      <c r="C9" s="2">
        <v>-0.13</v>
      </c>
      <c r="D9" t="str">
        <f>IF(C9&gt;=0.5,"El Niño",IF(C9&lt;=-0.5,"La Niña","Neutro"))</f>
        <v>Neutro</v>
      </c>
      <c r="E9" s="2">
        <v>140.50000655330729</v>
      </c>
      <c r="F9" s="2">
        <v>50.842821111931663</v>
      </c>
      <c r="G9" s="2">
        <v>70.829834989824761</v>
      </c>
      <c r="H9" s="4">
        <v>0.57087080000000001</v>
      </c>
      <c r="I9" s="4">
        <v>0.11158940000000001</v>
      </c>
      <c r="J9" s="3">
        <v>0.19035730000000001</v>
      </c>
      <c r="K9" s="3">
        <v>76.115069494389573</v>
      </c>
      <c r="L9" s="3">
        <v>26.926724470173749</v>
      </c>
      <c r="M9" s="3">
        <v>31.158685983124439</v>
      </c>
      <c r="N9" s="3">
        <v>92.31</v>
      </c>
      <c r="O9" s="3">
        <v>1.17</v>
      </c>
      <c r="P9" s="3">
        <v>25.71</v>
      </c>
      <c r="Q9" s="3">
        <v>24.629831050000039</v>
      </c>
      <c r="R9" s="3">
        <v>33.230300000000028</v>
      </c>
      <c r="S9" s="3">
        <v>31.259950000000028</v>
      </c>
      <c r="T9" s="3">
        <v>0</v>
      </c>
      <c r="U9" s="3">
        <v>241100</v>
      </c>
      <c r="V9" s="3">
        <v>22925</v>
      </c>
    </row>
    <row r="10" spans="1:22" x14ac:dyDescent="0.25">
      <c r="A10" s="3">
        <v>9</v>
      </c>
      <c r="B10" s="3">
        <v>2001</v>
      </c>
      <c r="C10" s="2">
        <v>-0.19</v>
      </c>
      <c r="D10" t="str">
        <f>IF(C10&gt;=0.5,"El Niño",IF(C10&lt;=-0.5,"La Niña","Neutro"))</f>
        <v>Neutro</v>
      </c>
      <c r="E10" s="2">
        <v>148.3089770672793</v>
      </c>
      <c r="F10" s="2">
        <v>3.5981981654782231</v>
      </c>
      <c r="G10" s="2">
        <v>49.185804688328837</v>
      </c>
      <c r="H10" s="4">
        <v>0.50632410000000005</v>
      </c>
      <c r="I10" s="4">
        <v>5.9576940000000002E-2</v>
      </c>
      <c r="J10" s="3">
        <v>0.12034980000000001</v>
      </c>
      <c r="K10" s="3">
        <v>85.557577724373033</v>
      </c>
      <c r="L10" s="3">
        <v>16.445170071047059</v>
      </c>
      <c r="M10" s="3">
        <v>27.170517333609951</v>
      </c>
      <c r="N10" s="3">
        <v>75.959999999999994</v>
      </c>
      <c r="O10" s="3">
        <v>13.86</v>
      </c>
      <c r="P10" s="3">
        <v>81.599999999999994</v>
      </c>
      <c r="Q10" s="3">
        <v>29.017974925000019</v>
      </c>
      <c r="R10" s="3">
        <v>38.322000000000017</v>
      </c>
      <c r="S10" s="3">
        <v>36.944200000000038</v>
      </c>
      <c r="T10" s="3">
        <v>0</v>
      </c>
      <c r="U10" s="3">
        <v>481900</v>
      </c>
      <c r="V10" s="3">
        <v>40975</v>
      </c>
    </row>
    <row r="11" spans="1:22" x14ac:dyDescent="0.25">
      <c r="A11" s="3">
        <v>10</v>
      </c>
      <c r="B11" s="3">
        <v>2001</v>
      </c>
      <c r="C11" s="2">
        <v>-0.28999999999999998</v>
      </c>
      <c r="D11" t="str">
        <f>IF(C11&gt;=0.5,"El Niño",IF(C11&lt;=-0.5,"La Niña","Neutro"))</f>
        <v>Neutro</v>
      </c>
      <c r="E11" s="2">
        <v>146.87055483383509</v>
      </c>
      <c r="F11" s="2">
        <v>56.236278212935282</v>
      </c>
      <c r="G11" s="2">
        <v>61.151065025124659</v>
      </c>
      <c r="H11" s="4">
        <v>0.57846850000000005</v>
      </c>
      <c r="I11" s="4">
        <v>0.20357339999999999</v>
      </c>
      <c r="J11" s="3">
        <v>0.18712419999999999</v>
      </c>
      <c r="K11" s="3">
        <v>93.250989449638737</v>
      </c>
      <c r="L11" s="3">
        <v>47.738877533107207</v>
      </c>
      <c r="M11" s="3">
        <v>43.074522853057367</v>
      </c>
      <c r="N11" s="3">
        <v>147.94</v>
      </c>
      <c r="O11" s="3">
        <v>132.77000000000001</v>
      </c>
      <c r="P11" s="3">
        <v>61.85</v>
      </c>
      <c r="Q11" s="3">
        <v>29.30450447500003</v>
      </c>
      <c r="R11" s="3">
        <v>35.442050000000023</v>
      </c>
      <c r="S11" s="3">
        <v>38.145100000000014</v>
      </c>
      <c r="T11" s="3">
        <v>0</v>
      </c>
      <c r="U11" s="3">
        <v>174100</v>
      </c>
      <c r="V11" s="3">
        <v>61575</v>
      </c>
    </row>
    <row r="12" spans="1:22" x14ac:dyDescent="0.25">
      <c r="A12" s="3">
        <v>11</v>
      </c>
      <c r="B12" s="3">
        <v>2001</v>
      </c>
      <c r="C12" s="2">
        <v>-0.35</v>
      </c>
      <c r="D12" t="str">
        <f>IF(C12&gt;=0.5,"El Niño",IF(C12&lt;=-0.5,"La Niña","Neutro"))</f>
        <v>Neutro</v>
      </c>
      <c r="E12" s="2">
        <v>140.9388337425938</v>
      </c>
      <c r="F12" s="2">
        <v>71.913693740592322</v>
      </c>
      <c r="G12" s="2">
        <v>62.239266441943229</v>
      </c>
      <c r="H12" s="4">
        <v>0.54171619999999998</v>
      </c>
      <c r="I12" s="4">
        <v>0.30744169999999998</v>
      </c>
      <c r="J12" s="3">
        <v>0.23713319999999999</v>
      </c>
      <c r="K12" s="3">
        <v>101.5254424895188</v>
      </c>
      <c r="L12" s="3">
        <v>69.711886913902092</v>
      </c>
      <c r="M12" s="3">
        <v>56.520200019660621</v>
      </c>
      <c r="N12" s="3">
        <v>61.94</v>
      </c>
      <c r="O12" s="3">
        <v>190.88</v>
      </c>
      <c r="P12" s="3">
        <v>57.6</v>
      </c>
      <c r="Q12" s="3">
        <v>30.829120900000021</v>
      </c>
      <c r="R12" s="3">
        <v>33.601300000000023</v>
      </c>
      <c r="S12" s="3">
        <v>37.087400000000031</v>
      </c>
      <c r="T12" s="3">
        <v>0</v>
      </c>
      <c r="U12" s="3">
        <v>16575</v>
      </c>
      <c r="V12" s="3">
        <v>5350</v>
      </c>
    </row>
    <row r="13" spans="1:22" x14ac:dyDescent="0.25">
      <c r="A13" s="3">
        <v>12</v>
      </c>
      <c r="B13" s="3">
        <v>2001</v>
      </c>
      <c r="C13" s="2">
        <v>-0.31</v>
      </c>
      <c r="D13" t="str">
        <f>IF(C13&gt;=0.5,"El Niño",IF(C13&lt;=-0.5,"La Niña","Neutro"))</f>
        <v>Neutro</v>
      </c>
      <c r="E13" s="2">
        <v>132.3166854913631</v>
      </c>
      <c r="F13" s="2">
        <v>86.260254314919521</v>
      </c>
      <c r="G13" s="2">
        <v>71.23131401724487</v>
      </c>
      <c r="H13" s="4">
        <v>0.56902680000000005</v>
      </c>
      <c r="I13" s="4">
        <v>0.32141900000000001</v>
      </c>
      <c r="J13" s="3">
        <v>0.28037790000000001</v>
      </c>
      <c r="K13" s="3">
        <v>89.334802743522729</v>
      </c>
      <c r="L13" s="3">
        <v>69.402337228377661</v>
      </c>
      <c r="M13" s="3">
        <v>57.987760661513491</v>
      </c>
      <c r="N13" s="3">
        <v>144.22999999999999</v>
      </c>
      <c r="O13" s="3">
        <v>199.25</v>
      </c>
      <c r="P13" s="3">
        <v>124.04</v>
      </c>
      <c r="Q13" s="3">
        <v>29.29487145000002</v>
      </c>
      <c r="R13" s="3">
        <v>32.851350000000039</v>
      </c>
      <c r="S13" s="3">
        <v>34.470300000000023</v>
      </c>
      <c r="T13" s="3">
        <v>0</v>
      </c>
      <c r="U13" s="3">
        <v>0</v>
      </c>
      <c r="V13" s="3">
        <v>0</v>
      </c>
    </row>
    <row r="14" spans="1:22" x14ac:dyDescent="0.25">
      <c r="A14" s="3">
        <v>1</v>
      </c>
      <c r="B14" s="3">
        <v>2002</v>
      </c>
      <c r="C14" s="2">
        <v>-0.15</v>
      </c>
      <c r="D14" t="str">
        <f>IF(C14&gt;=0.5,"El Niño",IF(C14&lt;=-0.5,"La Niña","Neutro"))</f>
        <v>Neutro</v>
      </c>
      <c r="E14" s="2">
        <v>126.74736981084069</v>
      </c>
      <c r="F14" s="3">
        <v>122.83234625892339</v>
      </c>
      <c r="G14" s="2">
        <v>118.6635249389967</v>
      </c>
      <c r="H14" s="3">
        <v>0.67339789999999999</v>
      </c>
      <c r="I14" s="3">
        <v>0.56973779999999996</v>
      </c>
      <c r="J14" s="3">
        <v>0.5569035</v>
      </c>
      <c r="K14" s="3">
        <v>87.957839485599237</v>
      </c>
      <c r="L14" s="3">
        <v>88.872510376583719</v>
      </c>
      <c r="M14" s="3">
        <v>89.69592880443534</v>
      </c>
      <c r="N14" s="3">
        <v>273.05</v>
      </c>
      <c r="O14" s="3">
        <v>252.39</v>
      </c>
      <c r="P14" s="3">
        <v>297.54000000000002</v>
      </c>
      <c r="Q14" s="3">
        <v>26.89584423333336</v>
      </c>
      <c r="R14" s="3">
        <v>27.974600000000009</v>
      </c>
      <c r="S14" s="3">
        <v>26.972400000000011</v>
      </c>
      <c r="T14" s="3">
        <v>0</v>
      </c>
      <c r="U14" s="3">
        <v>3525</v>
      </c>
      <c r="V14" s="3">
        <v>650</v>
      </c>
    </row>
    <row r="15" spans="1:22" x14ac:dyDescent="0.25">
      <c r="A15" s="3">
        <v>2</v>
      </c>
      <c r="B15" s="3">
        <v>2002</v>
      </c>
      <c r="C15" s="2">
        <v>0.03</v>
      </c>
      <c r="D15" t="str">
        <f>IF(C15&gt;=0.5,"El Niño",IF(C15&lt;=-0.5,"La Niña","Neutro"))</f>
        <v>Neutro</v>
      </c>
      <c r="E15" s="2">
        <v>174.13882159970089</v>
      </c>
      <c r="F15" s="3">
        <v>128.11368970512871</v>
      </c>
      <c r="G15" s="2">
        <v>150.7345092131786</v>
      </c>
      <c r="H15" s="3">
        <v>0.54853569999999996</v>
      </c>
      <c r="I15" s="3">
        <v>0.42426409999999998</v>
      </c>
      <c r="J15" s="3">
        <v>0.50595579999999996</v>
      </c>
      <c r="K15" s="3">
        <v>120.97762633438779</v>
      </c>
      <c r="L15" s="3">
        <v>106.88016069832339</v>
      </c>
      <c r="M15" s="3">
        <v>129.0055313282316</v>
      </c>
      <c r="N15" s="3">
        <v>143.30000000000001</v>
      </c>
      <c r="O15" s="3">
        <v>129.21</v>
      </c>
      <c r="P15" s="3">
        <v>108.2</v>
      </c>
      <c r="Q15" s="3">
        <v>29.01479567500002</v>
      </c>
      <c r="R15" s="3">
        <v>29.224450000000029</v>
      </c>
      <c r="S15" s="3">
        <v>29.309900000000031</v>
      </c>
      <c r="T15" s="3">
        <v>0</v>
      </c>
      <c r="U15" s="3">
        <v>11000</v>
      </c>
      <c r="V15" s="3">
        <v>200</v>
      </c>
    </row>
    <row r="16" spans="1:22" x14ac:dyDescent="0.25">
      <c r="A16" s="3">
        <v>3</v>
      </c>
      <c r="B16" s="3">
        <v>2002</v>
      </c>
      <c r="C16" s="2">
        <v>0.09</v>
      </c>
      <c r="D16" t="str">
        <f>IF(C16&gt;=0.5,"El Niño",IF(C16&lt;=-0.5,"La Niña","Neutro"))</f>
        <v>Neutro</v>
      </c>
      <c r="E16" s="2">
        <v>157.43123537552381</v>
      </c>
      <c r="F16" s="3">
        <v>69.811751673708557</v>
      </c>
      <c r="G16" s="2">
        <v>96.524538376590186</v>
      </c>
      <c r="H16" s="3">
        <v>0.5760092</v>
      </c>
      <c r="I16" s="3">
        <v>0.28608230000000001</v>
      </c>
      <c r="J16" s="3">
        <v>0.37674000000000002</v>
      </c>
      <c r="K16" s="3">
        <v>99.863893712857873</v>
      </c>
      <c r="L16" s="3">
        <v>69.089206335113715</v>
      </c>
      <c r="M16" s="3">
        <v>78.324841493796953</v>
      </c>
      <c r="N16" s="3">
        <v>82.7</v>
      </c>
      <c r="O16" s="3">
        <v>78.88</v>
      </c>
      <c r="P16" s="3">
        <v>21.92</v>
      </c>
      <c r="Q16" s="3">
        <v>27.070021100000019</v>
      </c>
      <c r="R16" s="3">
        <v>31.518900000000031</v>
      </c>
      <c r="S16" s="3">
        <v>30.32765000000003</v>
      </c>
      <c r="T16" s="3">
        <v>0</v>
      </c>
      <c r="U16" s="3">
        <v>10850</v>
      </c>
      <c r="V16" s="3">
        <v>25</v>
      </c>
    </row>
    <row r="17" spans="1:22" x14ac:dyDescent="0.25">
      <c r="A17" s="3">
        <v>4</v>
      </c>
      <c r="B17" s="3">
        <v>2002</v>
      </c>
      <c r="C17" s="2">
        <v>0.2</v>
      </c>
      <c r="D17" t="str">
        <f>IF(C17&gt;=0.5,"El Niño",IF(C17&lt;=-0.5,"La Niña","Neutro"))</f>
        <v>Neutro</v>
      </c>
      <c r="E17" s="2">
        <v>147.68516311952851</v>
      </c>
      <c r="F17" s="3">
        <v>82.359385277821502</v>
      </c>
      <c r="G17" s="2">
        <v>89.843265108552032</v>
      </c>
      <c r="H17" s="3">
        <v>0.58429310000000001</v>
      </c>
      <c r="I17" s="3">
        <v>0.28552810000000001</v>
      </c>
      <c r="J17" s="3">
        <v>0.33381680000000002</v>
      </c>
      <c r="K17" s="3">
        <v>102.4367796937218</v>
      </c>
      <c r="L17" s="3">
        <v>68.32326695413721</v>
      </c>
      <c r="M17" s="3">
        <v>67.417476179591915</v>
      </c>
      <c r="N17" s="3">
        <v>74.05</v>
      </c>
      <c r="O17" s="3">
        <v>48.72</v>
      </c>
      <c r="P17" s="3">
        <v>27.68</v>
      </c>
      <c r="Q17" s="3">
        <v>27.40824307500003</v>
      </c>
      <c r="R17" s="3">
        <v>30.720650000000031</v>
      </c>
      <c r="S17" s="3">
        <v>30.977450000000029</v>
      </c>
      <c r="T17" s="3">
        <v>0</v>
      </c>
      <c r="U17" s="3">
        <v>3100</v>
      </c>
      <c r="V17" s="3">
        <v>0</v>
      </c>
    </row>
    <row r="18" spans="1:22" x14ac:dyDescent="0.25">
      <c r="A18" s="3">
        <v>5</v>
      </c>
      <c r="B18" s="3">
        <v>2002</v>
      </c>
      <c r="C18" s="2">
        <v>0.43</v>
      </c>
      <c r="D18" t="str">
        <f>IF(C18&gt;=0.5,"El Niño",IF(C18&lt;=-0.5,"La Niña","Neutro"))</f>
        <v>Neutro</v>
      </c>
      <c r="E18" s="2">
        <v>133.20825928738569</v>
      </c>
      <c r="F18" s="3">
        <v>48.255573580626553</v>
      </c>
      <c r="G18" s="2">
        <v>76.522714668749941</v>
      </c>
      <c r="H18" s="3">
        <v>0.58604350000000005</v>
      </c>
      <c r="I18" s="3">
        <v>0.17050380000000001</v>
      </c>
      <c r="J18" s="3">
        <v>0.25367869999999998</v>
      </c>
      <c r="K18" s="3">
        <v>97.255673474797447</v>
      </c>
      <c r="L18" s="3">
        <v>38.591498162784738</v>
      </c>
      <c r="M18" s="3">
        <v>48.02658700698435</v>
      </c>
      <c r="N18" s="3">
        <v>86.96</v>
      </c>
      <c r="O18" s="3">
        <v>30.29</v>
      </c>
      <c r="P18" s="3">
        <v>31.8</v>
      </c>
      <c r="Q18" s="3">
        <v>26.29010870000003</v>
      </c>
      <c r="R18" s="3">
        <v>31.078050000000019</v>
      </c>
      <c r="S18" s="3">
        <v>30.682250000000021</v>
      </c>
      <c r="T18" s="3">
        <v>1425</v>
      </c>
      <c r="U18" s="3">
        <v>16550</v>
      </c>
      <c r="V18" s="3">
        <v>1125</v>
      </c>
    </row>
    <row r="19" spans="1:22" x14ac:dyDescent="0.25">
      <c r="A19" s="3">
        <v>6</v>
      </c>
      <c r="B19" s="3">
        <v>2002</v>
      </c>
      <c r="C19" s="2">
        <v>0.65</v>
      </c>
      <c r="D19" t="str">
        <f>IF(C19&gt;=0.5,"El Niño",IF(C19&lt;=-0.5,"La Niña","Neutro"))</f>
        <v>El Niño</v>
      </c>
      <c r="E19" s="2">
        <v>120.757150043753</v>
      </c>
      <c r="F19" s="3">
        <v>60.140349592216403</v>
      </c>
      <c r="G19" s="2">
        <v>76.07788686428826</v>
      </c>
      <c r="H19" s="3">
        <v>0.62212190000000001</v>
      </c>
      <c r="I19" s="3">
        <v>0.15892319999999999</v>
      </c>
      <c r="J19" s="3">
        <v>0.24682190000000001</v>
      </c>
      <c r="K19" s="3">
        <v>79.09194250998415</v>
      </c>
      <c r="L19" s="3">
        <v>32.436072374779798</v>
      </c>
      <c r="M19" s="3">
        <v>36.720718854955891</v>
      </c>
      <c r="N19" s="3">
        <v>97.74</v>
      </c>
      <c r="O19" s="3">
        <v>1.79</v>
      </c>
      <c r="P19" s="3">
        <v>24.63</v>
      </c>
      <c r="Q19" s="3">
        <v>23.720802325000019</v>
      </c>
      <c r="R19" s="3">
        <v>29.640600000000031</v>
      </c>
      <c r="S19" s="3">
        <v>28.605850000000029</v>
      </c>
      <c r="T19" s="3">
        <v>0</v>
      </c>
      <c r="U19" s="3">
        <v>20925</v>
      </c>
      <c r="V19" s="3">
        <v>325</v>
      </c>
    </row>
    <row r="20" spans="1:22" x14ac:dyDescent="0.25">
      <c r="A20" s="3">
        <v>7</v>
      </c>
      <c r="B20" s="3">
        <v>2002</v>
      </c>
      <c r="C20" s="2">
        <v>0.79</v>
      </c>
      <c r="D20" t="str">
        <f>IF(C20&gt;=0.5,"El Niño",IF(C20&lt;=-0.5,"La Niña","Neutro"))</f>
        <v>El Niño</v>
      </c>
      <c r="E20" s="2">
        <v>134.27084992540799</v>
      </c>
      <c r="F20" s="3">
        <v>41.436324620767309</v>
      </c>
      <c r="G20" s="2">
        <v>68.591393056238729</v>
      </c>
      <c r="H20" s="3">
        <v>0.56838049999999996</v>
      </c>
      <c r="I20" s="3">
        <v>0.1124573</v>
      </c>
      <c r="J20" s="3">
        <v>0.17936360000000001</v>
      </c>
      <c r="K20" s="3">
        <v>87.653981869672918</v>
      </c>
      <c r="L20" s="3">
        <v>25.006701144299591</v>
      </c>
      <c r="M20" s="3">
        <v>33.102131006062827</v>
      </c>
      <c r="N20" s="3">
        <v>81.25</v>
      </c>
      <c r="O20" s="3">
        <v>4.0599999999999996</v>
      </c>
      <c r="P20" s="3">
        <v>18.68</v>
      </c>
      <c r="Q20" s="3">
        <v>24.302777075000009</v>
      </c>
      <c r="R20" s="3">
        <v>31.802350000000029</v>
      </c>
      <c r="S20" s="3">
        <v>30.510850000000019</v>
      </c>
      <c r="T20" s="3">
        <v>0</v>
      </c>
      <c r="U20" s="3">
        <v>62475</v>
      </c>
      <c r="V20" s="3">
        <v>1550</v>
      </c>
    </row>
    <row r="21" spans="1:22" x14ac:dyDescent="0.25">
      <c r="A21" s="3">
        <v>8</v>
      </c>
      <c r="B21" s="3">
        <v>2002</v>
      </c>
      <c r="C21" s="2">
        <v>0.86</v>
      </c>
      <c r="D21" t="str">
        <f>IF(C21&gt;=0.5,"El Niño",IF(C21&lt;=-0.5,"La Niña","Neutro"))</f>
        <v>El Niño</v>
      </c>
      <c r="E21" s="2">
        <v>133.55723716419121</v>
      </c>
      <c r="F21" s="3">
        <v>40.354616166874493</v>
      </c>
      <c r="G21" s="2">
        <v>62.04582248295285</v>
      </c>
      <c r="H21" s="3">
        <v>0.51140589999999997</v>
      </c>
      <c r="I21" s="3">
        <v>9.4353069999999997E-2</v>
      </c>
      <c r="J21" s="3">
        <v>0.1417668</v>
      </c>
      <c r="K21" s="3">
        <v>86.966473318091545</v>
      </c>
      <c r="L21" s="3">
        <v>23.18537189232163</v>
      </c>
      <c r="M21" s="3">
        <v>29.235969886686082</v>
      </c>
      <c r="N21" s="3">
        <v>77.02</v>
      </c>
      <c r="O21" s="3">
        <v>1.34</v>
      </c>
      <c r="P21" s="3">
        <v>16.89</v>
      </c>
      <c r="Q21" s="3">
        <v>25.302729125000031</v>
      </c>
      <c r="R21" s="3">
        <v>34.228300000000033</v>
      </c>
      <c r="S21" s="3">
        <v>31.99045000000002</v>
      </c>
      <c r="T21" s="3">
        <v>47400</v>
      </c>
      <c r="U21" s="3">
        <v>375725</v>
      </c>
      <c r="V21" s="3">
        <v>10375</v>
      </c>
    </row>
    <row r="22" spans="1:22" x14ac:dyDescent="0.25">
      <c r="A22" s="3">
        <v>9</v>
      </c>
      <c r="B22" s="3">
        <v>2002</v>
      </c>
      <c r="C22" s="2">
        <v>1.01</v>
      </c>
      <c r="D22" t="str">
        <f>IF(C22&gt;=0.5,"El Niño",IF(C22&lt;=-0.5,"La Niña","Neutro"))</f>
        <v>El Niño</v>
      </c>
      <c r="E22" s="2">
        <v>153.37030021857211</v>
      </c>
      <c r="F22" s="3">
        <v>25.821927700633161</v>
      </c>
      <c r="G22" s="2">
        <v>56.048707719684032</v>
      </c>
      <c r="H22" s="3">
        <v>0.48922149999999998</v>
      </c>
      <c r="I22" s="3">
        <v>9.4445909999999994E-2</v>
      </c>
      <c r="J22" s="3">
        <v>0.1320066</v>
      </c>
      <c r="K22" s="3">
        <v>100.7991192114809</v>
      </c>
      <c r="L22" s="3">
        <v>24.620865761208421</v>
      </c>
      <c r="M22" s="3">
        <v>31.672317245197469</v>
      </c>
      <c r="N22" s="3">
        <v>111.77</v>
      </c>
      <c r="O22" s="3">
        <v>45.84</v>
      </c>
      <c r="P22" s="3">
        <v>43.18</v>
      </c>
      <c r="Q22" s="3">
        <v>27.576870325000002</v>
      </c>
      <c r="R22" s="3">
        <v>37.134550000000019</v>
      </c>
      <c r="S22" s="3">
        <v>36.034100000000016</v>
      </c>
      <c r="T22" s="3">
        <v>1675</v>
      </c>
      <c r="U22" s="3">
        <v>688125</v>
      </c>
      <c r="V22" s="3">
        <v>52900</v>
      </c>
    </row>
    <row r="23" spans="1:22" x14ac:dyDescent="0.25">
      <c r="A23" s="3">
        <v>10</v>
      </c>
      <c r="B23" s="3">
        <v>2002</v>
      </c>
      <c r="C23" s="2">
        <v>1.21</v>
      </c>
      <c r="D23" t="str">
        <f>IF(C23&gt;=0.5,"El Niño",IF(C23&lt;=-0.5,"La Niña","Neutro"))</f>
        <v>El Niño</v>
      </c>
      <c r="E23" s="2">
        <v>136.11642663572479</v>
      </c>
      <c r="F23" s="3">
        <v>14.149973164166701</v>
      </c>
      <c r="G23" s="2">
        <v>43.598279250214603</v>
      </c>
      <c r="H23" s="3">
        <v>0.44580900000000001</v>
      </c>
      <c r="I23" s="3">
        <v>0.1219327</v>
      </c>
      <c r="J23" s="3">
        <v>0.1394204</v>
      </c>
      <c r="K23" s="3">
        <v>99.649453380968808</v>
      </c>
      <c r="L23" s="3">
        <v>31.19302746036518</v>
      </c>
      <c r="M23" s="3">
        <v>34.398704389323683</v>
      </c>
      <c r="N23" s="3">
        <v>27.87</v>
      </c>
      <c r="O23" s="3">
        <v>40.93</v>
      </c>
      <c r="P23" s="3">
        <v>11.43</v>
      </c>
      <c r="Q23" s="3">
        <v>31.357476200000018</v>
      </c>
      <c r="R23" s="3">
        <v>39.648850000000017</v>
      </c>
      <c r="S23" s="3">
        <v>38.823700000000017</v>
      </c>
      <c r="T23" s="3">
        <v>14850</v>
      </c>
      <c r="U23" s="3">
        <v>358525</v>
      </c>
      <c r="V23" s="3">
        <v>40725</v>
      </c>
    </row>
    <row r="24" spans="1:22" x14ac:dyDescent="0.25">
      <c r="A24" s="3">
        <v>11</v>
      </c>
      <c r="B24" s="3">
        <v>2002</v>
      </c>
      <c r="C24" s="2">
        <v>1.31</v>
      </c>
      <c r="D24" t="str">
        <f>IF(C24&gt;=0.5,"El Niño",IF(C24&lt;=-0.5,"La Niña","Neutro"))</f>
        <v>El Niño</v>
      </c>
      <c r="E24" s="2">
        <v>140.07820639834091</v>
      </c>
      <c r="F24" s="3">
        <v>48.909272688385528</v>
      </c>
      <c r="G24" s="2">
        <v>63.227759191477872</v>
      </c>
      <c r="H24" s="3">
        <v>0.43622909999999998</v>
      </c>
      <c r="I24" s="3">
        <v>0.17686379999999999</v>
      </c>
      <c r="J24" s="3">
        <v>0.1766276</v>
      </c>
      <c r="K24" s="3">
        <v>106.2869070659938</v>
      </c>
      <c r="L24" s="3">
        <v>49.294529315740718</v>
      </c>
      <c r="M24" s="3">
        <v>47.267287745222497</v>
      </c>
      <c r="N24" s="3">
        <v>69.14</v>
      </c>
      <c r="O24" s="3">
        <v>100.88</v>
      </c>
      <c r="P24" s="3">
        <v>52.49</v>
      </c>
      <c r="Q24" s="3">
        <v>31.994744024999999</v>
      </c>
      <c r="R24" s="3">
        <v>39.145300000000027</v>
      </c>
      <c r="S24" s="3">
        <v>37.991950000000031</v>
      </c>
      <c r="T24" s="3">
        <v>10700</v>
      </c>
      <c r="U24" s="3">
        <v>40500</v>
      </c>
      <c r="V24" s="3">
        <v>14200</v>
      </c>
    </row>
    <row r="25" spans="1:22" x14ac:dyDescent="0.25">
      <c r="A25" s="3">
        <v>12</v>
      </c>
      <c r="B25" s="3">
        <v>2002</v>
      </c>
      <c r="C25" s="2">
        <v>1.1399999999999999</v>
      </c>
      <c r="D25" t="str">
        <f>IF(C25&gt;=0.5,"El Niño",IF(C25&lt;=-0.5,"La Niña","Neutro"))</f>
        <v>El Niño</v>
      </c>
      <c r="E25" s="2">
        <v>97.520401602090885</v>
      </c>
      <c r="F25" s="3">
        <v>62.908636497540392</v>
      </c>
      <c r="G25" s="2">
        <v>59.400986179026461</v>
      </c>
      <c r="H25" s="3">
        <v>0.43747930000000002</v>
      </c>
      <c r="I25" s="3">
        <v>0.33788859999999998</v>
      </c>
      <c r="J25" s="3">
        <v>0.2484169</v>
      </c>
      <c r="K25" s="3">
        <v>91.186290962318466</v>
      </c>
      <c r="L25" s="3">
        <v>64.25777250008575</v>
      </c>
      <c r="M25" s="3">
        <v>52.943652906846658</v>
      </c>
      <c r="N25" s="3">
        <v>152.69999999999999</v>
      </c>
      <c r="O25" s="3">
        <v>264.13</v>
      </c>
      <c r="P25" s="3">
        <v>138.35</v>
      </c>
      <c r="Q25" s="3">
        <v>32.580639075000022</v>
      </c>
      <c r="R25" s="3">
        <v>32.601000000000028</v>
      </c>
      <c r="S25" s="3">
        <v>35.677900000000051</v>
      </c>
      <c r="T25" s="3">
        <v>33700</v>
      </c>
      <c r="U25" s="3">
        <v>9900</v>
      </c>
      <c r="V25" s="3">
        <v>6100</v>
      </c>
    </row>
    <row r="26" spans="1:22" x14ac:dyDescent="0.25">
      <c r="A26" s="3">
        <v>1</v>
      </c>
      <c r="B26" s="3">
        <v>2003</v>
      </c>
      <c r="C26" s="2">
        <v>0.92</v>
      </c>
      <c r="D26" t="str">
        <f>IF(C26&gt;=0.5,"El Niño",IF(C26&lt;=-0.5,"La Niña","Neutro"))</f>
        <v>El Niño</v>
      </c>
      <c r="E26" s="3">
        <v>110.6000663040503</v>
      </c>
      <c r="F26" s="3">
        <v>101.5544000677958</v>
      </c>
      <c r="G26" s="3">
        <v>88.05325921317862</v>
      </c>
      <c r="H26" s="3">
        <v>0.49983870000000002</v>
      </c>
      <c r="I26" s="3">
        <v>0.49465880000000001</v>
      </c>
      <c r="J26" s="3">
        <v>0.39418589999999998</v>
      </c>
      <c r="K26" s="3">
        <v>103.16071055462869</v>
      </c>
      <c r="L26" s="3">
        <v>90.609328533637878</v>
      </c>
      <c r="M26" s="3">
        <v>84.453369799896265</v>
      </c>
      <c r="N26" s="3">
        <v>77.521699999999996</v>
      </c>
      <c r="O26" s="3">
        <v>79.312100000000001</v>
      </c>
      <c r="P26" s="3">
        <v>45.395000000000003</v>
      </c>
      <c r="Q26" s="3">
        <v>32.356666666666662</v>
      </c>
      <c r="R26" s="3">
        <v>31.483333333333331</v>
      </c>
      <c r="S26" s="3">
        <v>32.673333333333339</v>
      </c>
      <c r="T26" s="3">
        <v>5475</v>
      </c>
      <c r="U26" s="3">
        <v>3800</v>
      </c>
      <c r="V26" s="3">
        <v>2325</v>
      </c>
    </row>
    <row r="27" spans="1:22" x14ac:dyDescent="0.25">
      <c r="A27" s="3">
        <v>2</v>
      </c>
      <c r="B27" s="3">
        <v>2003</v>
      </c>
      <c r="C27" s="2">
        <v>0.63</v>
      </c>
      <c r="D27" t="str">
        <f>IF(C27&gt;=0.5,"El Niño",IF(C27&lt;=-0.5,"La Niña","Neutro"))</f>
        <v>El Niño</v>
      </c>
      <c r="E27" s="3">
        <v>137.05993951694509</v>
      </c>
      <c r="F27" s="3">
        <v>138.16669673087091</v>
      </c>
      <c r="G27" s="3">
        <v>108.3953895008292</v>
      </c>
      <c r="H27" s="3">
        <v>0.43350369999999999</v>
      </c>
      <c r="I27" s="3">
        <v>0.46534619999999999</v>
      </c>
      <c r="J27" s="3">
        <v>0.35357889999999997</v>
      </c>
      <c r="K27" s="3">
        <v>102.9977727924781</v>
      </c>
      <c r="L27" s="3">
        <v>109.26114103073731</v>
      </c>
      <c r="M27" s="3">
        <v>87.785222116347228</v>
      </c>
      <c r="N27" s="3">
        <v>56.047899999999998</v>
      </c>
      <c r="O27" s="3">
        <v>138.68020000000001</v>
      </c>
      <c r="P27" s="3">
        <v>37.271000000000001</v>
      </c>
      <c r="Q27" s="3">
        <v>30.934999999999999</v>
      </c>
      <c r="R27" s="3">
        <v>31.517499999999998</v>
      </c>
      <c r="S27" s="3">
        <v>31.1875</v>
      </c>
      <c r="T27" s="3">
        <v>6475</v>
      </c>
      <c r="U27" s="3">
        <v>9025</v>
      </c>
      <c r="V27" s="3">
        <v>4025</v>
      </c>
    </row>
    <row r="28" spans="1:22" x14ac:dyDescent="0.25">
      <c r="A28" s="3">
        <v>3</v>
      </c>
      <c r="B28" s="3">
        <v>2003</v>
      </c>
      <c r="C28" s="2">
        <v>0.38</v>
      </c>
      <c r="D28" t="str">
        <f>IF(C28&gt;=0.5,"El Niño",IF(C28&lt;=-0.5,"La Niña","Neutro"))</f>
        <v>Neutro</v>
      </c>
      <c r="E28" s="3">
        <v>116.321893593769</v>
      </c>
      <c r="F28" s="3">
        <v>112.5682727812012</v>
      </c>
      <c r="G28" s="3">
        <v>93.205717718217329</v>
      </c>
      <c r="H28" s="3">
        <v>0.44280920000000001</v>
      </c>
      <c r="I28" s="3">
        <v>0.48350019999999999</v>
      </c>
      <c r="J28" s="3">
        <v>0.32861449999999998</v>
      </c>
      <c r="K28" s="3">
        <v>97.038802761448864</v>
      </c>
      <c r="L28" s="3">
        <v>98.010808798455173</v>
      </c>
      <c r="M28" s="3">
        <v>76.059038983439279</v>
      </c>
      <c r="N28" s="3">
        <v>84.690600000000003</v>
      </c>
      <c r="O28" s="3">
        <v>186.26490000000001</v>
      </c>
      <c r="P28" s="3">
        <v>98.66</v>
      </c>
      <c r="Q28" s="3">
        <v>33.294999999999987</v>
      </c>
      <c r="R28" s="3">
        <v>30.717500000000001</v>
      </c>
      <c r="S28" s="3">
        <v>31.8825</v>
      </c>
      <c r="T28" s="3">
        <v>5275</v>
      </c>
      <c r="U28" s="3">
        <v>4300</v>
      </c>
      <c r="V28" s="3">
        <v>2400</v>
      </c>
    </row>
    <row r="29" spans="1:22" x14ac:dyDescent="0.25">
      <c r="A29" s="3">
        <v>4</v>
      </c>
      <c r="B29" s="3">
        <v>2003</v>
      </c>
      <c r="C29" s="2">
        <v>-0.04</v>
      </c>
      <c r="D29" t="str">
        <f>IF(C29&gt;=0.5,"El Niño",IF(C29&lt;=-0.5,"La Niña","Neutro"))</f>
        <v>Neutro</v>
      </c>
      <c r="E29" s="3">
        <v>119.81851556311111</v>
      </c>
      <c r="F29" s="3">
        <v>131.41720984007461</v>
      </c>
      <c r="G29" s="3">
        <v>99.255233882542441</v>
      </c>
      <c r="H29" s="3">
        <v>0.50895699999999999</v>
      </c>
      <c r="I29" s="3">
        <v>0.4444785</v>
      </c>
      <c r="J29" s="3">
        <v>0.33121270000000003</v>
      </c>
      <c r="K29" s="3">
        <v>106.1513830633215</v>
      </c>
      <c r="L29" s="3">
        <v>98.212317514381922</v>
      </c>
      <c r="M29" s="3">
        <v>76.944113766026987</v>
      </c>
      <c r="N29" s="3">
        <v>96.951800000000006</v>
      </c>
      <c r="O29" s="3">
        <v>66.308800000000005</v>
      </c>
      <c r="P29" s="3">
        <v>31.52</v>
      </c>
      <c r="Q29" s="3">
        <v>30.487500000000001</v>
      </c>
      <c r="R29" s="3">
        <v>30.175000000000001</v>
      </c>
      <c r="S29" s="3">
        <v>31.824999999999999</v>
      </c>
      <c r="T29" s="3">
        <v>1975</v>
      </c>
      <c r="U29" s="3">
        <v>10200</v>
      </c>
      <c r="V29" s="3">
        <v>1275</v>
      </c>
    </row>
    <row r="30" spans="1:22" x14ac:dyDescent="0.25">
      <c r="A30" s="3">
        <v>5</v>
      </c>
      <c r="B30" s="3">
        <v>2003</v>
      </c>
      <c r="C30" s="2">
        <v>-0.26</v>
      </c>
      <c r="D30" t="str">
        <f>IF(C30&gt;=0.5,"El Niño",IF(C30&lt;=-0.5,"La Niña","Neutro"))</f>
        <v>Neutro</v>
      </c>
      <c r="E30" s="3">
        <v>119.4339942523751</v>
      </c>
      <c r="F30" s="3">
        <v>104.86395725636901</v>
      </c>
      <c r="G30" s="3">
        <v>87.356208666906582</v>
      </c>
      <c r="H30" s="3">
        <v>0.60792100000000004</v>
      </c>
      <c r="I30" s="3">
        <v>0.35699700000000001</v>
      </c>
      <c r="J30" s="3">
        <v>0.31433090000000002</v>
      </c>
      <c r="K30" s="3">
        <v>102.6189594280635</v>
      </c>
      <c r="L30" s="3">
        <v>67.50205634933927</v>
      </c>
      <c r="M30" s="3">
        <v>58.507253730083107</v>
      </c>
      <c r="N30" s="3">
        <v>140.8877</v>
      </c>
      <c r="O30" s="3">
        <v>26.149699999999999</v>
      </c>
      <c r="P30" s="3">
        <v>51.56</v>
      </c>
      <c r="Q30" s="3">
        <v>27.967500000000001</v>
      </c>
      <c r="R30" s="3">
        <v>30.12</v>
      </c>
      <c r="S30" s="3">
        <v>31.605</v>
      </c>
      <c r="T30" s="3">
        <v>1400</v>
      </c>
      <c r="U30" s="3">
        <v>12125</v>
      </c>
      <c r="V30" s="3">
        <v>600</v>
      </c>
    </row>
    <row r="31" spans="1:22" x14ac:dyDescent="0.25">
      <c r="A31" s="3">
        <v>6</v>
      </c>
      <c r="B31" s="3">
        <v>2003</v>
      </c>
      <c r="C31" s="2">
        <v>-0.16</v>
      </c>
      <c r="D31" t="str">
        <f>IF(C31&gt;=0.5,"El Niño",IF(C31&lt;=-0.5,"La Niña","Neutro"))</f>
        <v>Neutro</v>
      </c>
      <c r="E31" s="3">
        <v>137.08078439082311</v>
      </c>
      <c r="F31" s="3">
        <v>95.039626638902689</v>
      </c>
      <c r="G31" s="3">
        <v>92.466859863369848</v>
      </c>
      <c r="H31" s="3">
        <v>0.59983200000000003</v>
      </c>
      <c r="I31" s="3">
        <v>0.24527979999999999</v>
      </c>
      <c r="J31" s="3">
        <v>0.26763740000000003</v>
      </c>
      <c r="K31" s="3">
        <v>97.221558324107718</v>
      </c>
      <c r="L31" s="3">
        <v>47.259598415616232</v>
      </c>
      <c r="M31" s="3">
        <v>45.906420808858122</v>
      </c>
      <c r="N31" s="3">
        <v>71.198800000000006</v>
      </c>
      <c r="O31" s="3">
        <v>1.1875</v>
      </c>
      <c r="P31" s="3">
        <v>25.4</v>
      </c>
      <c r="Q31" s="3">
        <v>26.0625</v>
      </c>
      <c r="R31" s="3">
        <v>29.76</v>
      </c>
      <c r="S31" s="3">
        <v>30.434999999999999</v>
      </c>
      <c r="T31" s="3">
        <v>1700</v>
      </c>
      <c r="U31" s="3">
        <v>19675</v>
      </c>
      <c r="V31" s="3">
        <v>1150</v>
      </c>
    </row>
    <row r="32" spans="1:22" x14ac:dyDescent="0.25">
      <c r="A32" s="3">
        <v>7</v>
      </c>
      <c r="B32" s="3">
        <v>2003</v>
      </c>
      <c r="C32" s="2">
        <v>0.08</v>
      </c>
      <c r="D32" t="str">
        <f>IF(C32&gt;=0.5,"El Niño",IF(C32&lt;=-0.5,"La Niña","Neutro"))</f>
        <v>Neutro</v>
      </c>
      <c r="E32" s="3">
        <v>132.56186406539419</v>
      </c>
      <c r="F32" s="3">
        <v>79.231980040596767</v>
      </c>
      <c r="G32" s="3">
        <v>84.596680814331648</v>
      </c>
      <c r="H32" s="3">
        <v>0.55061709999999997</v>
      </c>
      <c r="I32" s="3">
        <v>0.15621579999999999</v>
      </c>
      <c r="J32" s="3">
        <v>0.214784</v>
      </c>
      <c r="K32" s="3">
        <v>86.154977156845931</v>
      </c>
      <c r="L32" s="3">
        <v>32.961445316362223</v>
      </c>
      <c r="M32" s="3">
        <v>37.672133535165912</v>
      </c>
      <c r="N32" s="3">
        <v>89.892499999999998</v>
      </c>
      <c r="O32" s="3">
        <v>0.84730000000000005</v>
      </c>
      <c r="P32" s="3">
        <v>26.59</v>
      </c>
      <c r="Q32" s="3">
        <v>25.122499999999999</v>
      </c>
      <c r="R32" s="3">
        <v>29.664999999999999</v>
      </c>
      <c r="S32" s="3">
        <v>30.745000000000001</v>
      </c>
      <c r="T32" s="3">
        <v>1150</v>
      </c>
      <c r="U32" s="3">
        <v>36725</v>
      </c>
      <c r="V32" s="3">
        <v>2075</v>
      </c>
    </row>
    <row r="33" spans="1:22" x14ac:dyDescent="0.25">
      <c r="A33" s="3">
        <v>8</v>
      </c>
      <c r="B33" s="3">
        <v>2003</v>
      </c>
      <c r="C33" s="2">
        <v>0.21</v>
      </c>
      <c r="D33" t="str">
        <f>IF(C33&gt;=0.5,"El Niño",IF(C33&lt;=-0.5,"La Niña","Neutro"))</f>
        <v>Neutro</v>
      </c>
      <c r="E33" s="3">
        <v>139.49214818926691</v>
      </c>
      <c r="F33" s="3">
        <v>48.119132133186447</v>
      </c>
      <c r="G33" s="3">
        <v>66.425341078079796</v>
      </c>
      <c r="H33" s="3">
        <v>0.55121560000000003</v>
      </c>
      <c r="I33" s="3">
        <v>0.1226767</v>
      </c>
      <c r="J33" s="3">
        <v>0.1722003</v>
      </c>
      <c r="K33" s="3">
        <v>87.352233639467983</v>
      </c>
      <c r="L33" s="3">
        <v>28.216965537836948</v>
      </c>
      <c r="M33" s="3">
        <v>32.684146332637773</v>
      </c>
      <c r="N33" s="3">
        <v>79.188699999999997</v>
      </c>
      <c r="O33" s="3">
        <v>17.6373</v>
      </c>
      <c r="P33" s="3">
        <v>25.54</v>
      </c>
      <c r="Q33" s="3">
        <v>27.75</v>
      </c>
      <c r="R33" s="3">
        <v>33.877499999999998</v>
      </c>
      <c r="S33" s="3">
        <v>34.097499999999997</v>
      </c>
      <c r="T33" s="3">
        <v>975</v>
      </c>
      <c r="U33" s="3">
        <v>73750</v>
      </c>
      <c r="V33" s="3">
        <v>4550</v>
      </c>
    </row>
    <row r="34" spans="1:22" x14ac:dyDescent="0.25">
      <c r="A34" s="3">
        <v>9</v>
      </c>
      <c r="B34" s="3">
        <v>2003</v>
      </c>
      <c r="C34" s="2">
        <v>0.26</v>
      </c>
      <c r="D34" t="str">
        <f>IF(C34&gt;=0.5,"El Niño",IF(C34&lt;=-0.5,"La Niña","Neutro"))</f>
        <v>Neutro</v>
      </c>
      <c r="E34" s="3">
        <v>149.3302411419694</v>
      </c>
      <c r="F34" s="3">
        <v>29.111103376472439</v>
      </c>
      <c r="G34" s="3">
        <v>55.072103963335422</v>
      </c>
      <c r="H34" s="3">
        <v>0.48096359999999999</v>
      </c>
      <c r="I34" s="3">
        <v>9.990491E-2</v>
      </c>
      <c r="J34" s="3">
        <v>0.12451719999999999</v>
      </c>
      <c r="K34" s="3">
        <v>99.437314643007497</v>
      </c>
      <c r="L34" s="3">
        <v>26.15617701836408</v>
      </c>
      <c r="M34" s="3">
        <v>28.868129410061879</v>
      </c>
      <c r="N34" s="3">
        <v>69.845500000000001</v>
      </c>
      <c r="O34" s="3">
        <v>10.471399999999999</v>
      </c>
      <c r="P34" s="3">
        <v>16.61</v>
      </c>
      <c r="Q34" s="3">
        <v>31.43</v>
      </c>
      <c r="R34" s="3">
        <v>37.76</v>
      </c>
      <c r="S34" s="3">
        <v>37.534999999999997</v>
      </c>
      <c r="T34" s="3">
        <v>9150</v>
      </c>
      <c r="U34" s="3">
        <v>292925</v>
      </c>
      <c r="V34" s="3">
        <v>47450</v>
      </c>
    </row>
    <row r="35" spans="1:22" x14ac:dyDescent="0.25">
      <c r="A35" s="3">
        <v>10</v>
      </c>
      <c r="B35" s="3">
        <v>2003</v>
      </c>
      <c r="C35" s="2">
        <v>0.28999999999999998</v>
      </c>
      <c r="D35" t="str">
        <f>IF(C35&gt;=0.5,"El Niño",IF(C35&lt;=-0.5,"La Niña","Neutro"))</f>
        <v>Neutro</v>
      </c>
      <c r="E35" s="3">
        <v>137.14280361510569</v>
      </c>
      <c r="F35" s="3">
        <v>43.444953450926747</v>
      </c>
      <c r="G35" s="3">
        <v>48.53926245274819</v>
      </c>
      <c r="H35" s="3">
        <v>0.44875609999999999</v>
      </c>
      <c r="I35" s="3">
        <v>0.1448535</v>
      </c>
      <c r="J35" s="3">
        <v>0.1219726</v>
      </c>
      <c r="K35" s="3">
        <v>99.741559337626498</v>
      </c>
      <c r="L35" s="3">
        <v>36.658315492537128</v>
      </c>
      <c r="M35" s="3">
        <v>29.613876693162219</v>
      </c>
      <c r="N35" s="3">
        <v>56.246499999999997</v>
      </c>
      <c r="O35" s="3">
        <v>34.669800000000002</v>
      </c>
      <c r="P35" s="3">
        <v>13.24</v>
      </c>
      <c r="Q35" s="3">
        <v>33.467500000000001</v>
      </c>
      <c r="R35" s="3">
        <v>38.409999999999997</v>
      </c>
      <c r="S35" s="3">
        <v>39.740650000000002</v>
      </c>
      <c r="T35" s="3">
        <v>23500</v>
      </c>
      <c r="U35" s="3">
        <v>155850</v>
      </c>
      <c r="V35" s="3">
        <v>42400</v>
      </c>
    </row>
    <row r="36" spans="1:22" x14ac:dyDescent="0.25">
      <c r="A36" s="3">
        <v>11</v>
      </c>
      <c r="B36" s="3">
        <v>2003</v>
      </c>
      <c r="C36" s="2">
        <v>0.35</v>
      </c>
      <c r="D36" t="str">
        <f>IF(C36&gt;=0.5,"El Niño",IF(C36&lt;=-0.5,"La Niña","Neutro"))</f>
        <v>Neutro</v>
      </c>
      <c r="E36" s="3">
        <v>130.75778502495069</v>
      </c>
      <c r="F36" s="3">
        <v>69.21801249379547</v>
      </c>
      <c r="G36" s="3">
        <v>60.187350468464331</v>
      </c>
      <c r="H36" s="3">
        <v>0.38702579999999998</v>
      </c>
      <c r="I36" s="3">
        <v>0.27121430000000002</v>
      </c>
      <c r="J36" s="3">
        <v>0.1958636</v>
      </c>
      <c r="K36" s="3">
        <v>98.940577783668317</v>
      </c>
      <c r="L36" s="3">
        <v>69.40775928343561</v>
      </c>
      <c r="M36" s="3">
        <v>52.566873243513818</v>
      </c>
      <c r="N36" s="3">
        <v>73</v>
      </c>
      <c r="O36" s="3">
        <v>143.60919999999999</v>
      </c>
      <c r="P36" s="3">
        <v>84.48</v>
      </c>
      <c r="Q36" s="3">
        <v>35.229500000000002</v>
      </c>
      <c r="R36" s="3">
        <v>36.07</v>
      </c>
      <c r="S36" s="3">
        <v>36.987499999999997</v>
      </c>
      <c r="T36" s="3">
        <v>4650</v>
      </c>
      <c r="U36" s="3">
        <v>26325</v>
      </c>
      <c r="V36" s="3">
        <v>5625</v>
      </c>
    </row>
    <row r="37" spans="1:22" x14ac:dyDescent="0.25">
      <c r="A37" s="3">
        <v>12</v>
      </c>
      <c r="B37" s="3">
        <v>2003</v>
      </c>
      <c r="C37" s="2">
        <v>0.35</v>
      </c>
      <c r="D37" t="str">
        <f>IF(C37&gt;=0.5,"El Niño",IF(C37&lt;=-0.5,"La Niña","Neutro"))</f>
        <v>Neutro</v>
      </c>
      <c r="E37" s="3">
        <v>103.08074237263961</v>
      </c>
      <c r="F37" s="3">
        <v>72.368629516188264</v>
      </c>
      <c r="G37" s="3">
        <v>44.179948412562062</v>
      </c>
      <c r="H37" s="3">
        <v>0.37072139999999998</v>
      </c>
      <c r="I37" s="3">
        <v>0.30978250000000002</v>
      </c>
      <c r="J37" s="3">
        <v>0.17868110000000001</v>
      </c>
      <c r="K37" s="3">
        <v>83.969195850810038</v>
      </c>
      <c r="L37" s="3">
        <v>70.070023224983714</v>
      </c>
      <c r="M37" s="3">
        <v>42.185989421882347</v>
      </c>
      <c r="N37" s="3">
        <v>49.818800000000003</v>
      </c>
      <c r="O37" s="3">
        <v>128.5146</v>
      </c>
      <c r="P37" s="3">
        <v>30.92</v>
      </c>
      <c r="Q37" s="3">
        <v>33.604999999999997</v>
      </c>
      <c r="R37" s="3">
        <v>33.897500000000001</v>
      </c>
      <c r="S37" s="3">
        <v>36.53</v>
      </c>
      <c r="T37" s="3">
        <v>29075</v>
      </c>
      <c r="U37" s="3">
        <v>15100</v>
      </c>
      <c r="V37" s="3">
        <v>12925</v>
      </c>
    </row>
    <row r="38" spans="1:22" x14ac:dyDescent="0.25">
      <c r="A38" s="3">
        <v>1</v>
      </c>
      <c r="B38" s="3">
        <v>2004</v>
      </c>
      <c r="C38" s="2">
        <v>0.37</v>
      </c>
      <c r="D38" t="str">
        <f>IF(C38&gt;=0.5,"El Niño",IF(C38&lt;=-0.5,"La Niña","Neutro"))</f>
        <v>Neutro</v>
      </c>
      <c r="E38" s="2">
        <v>93.792142792435996</v>
      </c>
      <c r="F38" s="2">
        <v>93.212525877410684</v>
      </c>
      <c r="G38" s="2">
        <v>66.432593317736917</v>
      </c>
      <c r="H38" s="3">
        <v>0.54886970000000002</v>
      </c>
      <c r="I38" s="3">
        <v>0.50435660000000004</v>
      </c>
      <c r="J38" s="3">
        <v>0.40051910000000002</v>
      </c>
      <c r="K38" s="3">
        <v>84.730776082516016</v>
      </c>
      <c r="L38" s="3">
        <v>82.851827428887361</v>
      </c>
      <c r="M38" s="3">
        <v>67.912194688023931</v>
      </c>
      <c r="N38" s="3">
        <v>239.3357</v>
      </c>
      <c r="O38" s="3">
        <v>380.68</v>
      </c>
      <c r="P38" s="3">
        <v>357.22</v>
      </c>
      <c r="Q38" s="3">
        <v>32.220600000000012</v>
      </c>
      <c r="R38" s="3">
        <v>31.416666666666671</v>
      </c>
      <c r="S38" s="3">
        <v>33.903333333333343</v>
      </c>
      <c r="T38" s="3">
        <v>200</v>
      </c>
      <c r="U38" s="3">
        <v>2675</v>
      </c>
      <c r="V38" s="3">
        <v>925</v>
      </c>
    </row>
    <row r="39" spans="1:22" x14ac:dyDescent="0.25">
      <c r="A39" s="3">
        <v>2</v>
      </c>
      <c r="B39" s="3">
        <v>2004</v>
      </c>
      <c r="C39" s="2">
        <v>0.31</v>
      </c>
      <c r="D39" t="str">
        <f>IF(C39&gt;=0.5,"El Niño",IF(C39&lt;=-0.5,"La Niña","Neutro"))</f>
        <v>Neutro</v>
      </c>
      <c r="E39" s="2">
        <v>168.36708472831779</v>
      </c>
      <c r="F39" s="2">
        <v>140.3180586998543</v>
      </c>
      <c r="G39" s="2">
        <v>167.1745658192726</v>
      </c>
      <c r="H39" s="3">
        <v>0.59605059999999999</v>
      </c>
      <c r="I39" s="3">
        <v>0.63655640000000002</v>
      </c>
      <c r="J39" s="3">
        <v>0.56940919999999995</v>
      </c>
      <c r="K39" s="3">
        <v>128.5802825768325</v>
      </c>
      <c r="L39" s="3">
        <v>115.6979369918904</v>
      </c>
      <c r="M39" s="3">
        <v>130.8961281315209</v>
      </c>
      <c r="N39" s="3">
        <v>151.38</v>
      </c>
      <c r="O39" s="3">
        <v>245.3</v>
      </c>
      <c r="P39" s="3">
        <v>134.66999999999999</v>
      </c>
      <c r="Q39" s="3">
        <v>29.7575</v>
      </c>
      <c r="R39" s="3">
        <v>29.1875</v>
      </c>
      <c r="S39" s="3">
        <v>29.01</v>
      </c>
      <c r="T39" s="3">
        <v>2150</v>
      </c>
      <c r="U39" s="3">
        <v>350</v>
      </c>
      <c r="V39" s="3">
        <v>625</v>
      </c>
    </row>
    <row r="40" spans="1:22" x14ac:dyDescent="0.25">
      <c r="A40" s="3">
        <v>3</v>
      </c>
      <c r="B40" s="3">
        <v>2004</v>
      </c>
      <c r="C40" s="2">
        <v>0.23</v>
      </c>
      <c r="D40" t="str">
        <f>IF(C40&gt;=0.5,"El Niño",IF(C40&lt;=-0.5,"La Niña","Neutro"))</f>
        <v>Neutro</v>
      </c>
      <c r="E40" s="2">
        <v>133.23630563795359</v>
      </c>
      <c r="F40" s="2">
        <v>138.3204160159481</v>
      </c>
      <c r="G40" s="2">
        <v>143.73851002664969</v>
      </c>
      <c r="H40" s="3">
        <v>0.63129639999999998</v>
      </c>
      <c r="I40" s="3">
        <v>0.61243270000000005</v>
      </c>
      <c r="J40" s="3">
        <v>0.55659910000000001</v>
      </c>
      <c r="K40" s="3">
        <v>115.0139483573199</v>
      </c>
      <c r="L40" s="3">
        <v>121.3090863965358</v>
      </c>
      <c r="M40" s="3">
        <v>123.39215711580449</v>
      </c>
      <c r="N40" s="3">
        <v>231.27</v>
      </c>
      <c r="O40" s="3">
        <v>236</v>
      </c>
      <c r="P40" s="3">
        <v>125.06</v>
      </c>
      <c r="Q40" s="3">
        <v>29.637499999999999</v>
      </c>
      <c r="R40" s="3">
        <v>28.322500000000002</v>
      </c>
      <c r="S40" s="3">
        <v>28.032499999999999</v>
      </c>
      <c r="T40" s="3">
        <v>2625</v>
      </c>
      <c r="U40" s="3">
        <v>35625</v>
      </c>
      <c r="V40" s="3">
        <v>3100</v>
      </c>
    </row>
    <row r="41" spans="1:22" x14ac:dyDescent="0.25">
      <c r="A41" s="3">
        <v>4</v>
      </c>
      <c r="B41" s="3">
        <v>2004</v>
      </c>
      <c r="C41" s="2">
        <v>0.17</v>
      </c>
      <c r="D41" t="str">
        <f>IF(C41&gt;=0.5,"El Niño",IF(C41&lt;=-0.5,"La Niña","Neutro"))</f>
        <v>Neutro</v>
      </c>
      <c r="E41" s="2">
        <v>138.43660843871609</v>
      </c>
      <c r="F41" s="2">
        <v>142.04574379648349</v>
      </c>
      <c r="G41" s="2">
        <v>135.8916280323028</v>
      </c>
      <c r="H41" s="3">
        <v>0.64019870000000001</v>
      </c>
      <c r="I41" s="3">
        <v>0.54428849999999995</v>
      </c>
      <c r="J41" s="3">
        <v>0.5011099</v>
      </c>
      <c r="K41" s="3">
        <v>116.6994768683829</v>
      </c>
      <c r="L41" s="3">
        <v>117.3251590538089</v>
      </c>
      <c r="M41" s="3">
        <v>113.7546961655831</v>
      </c>
      <c r="N41" s="3">
        <v>99.49</v>
      </c>
      <c r="O41" s="3">
        <v>102.42</v>
      </c>
      <c r="P41" s="3">
        <v>22.49</v>
      </c>
      <c r="Q41" s="3">
        <v>27.767499999999998</v>
      </c>
      <c r="R41" s="3">
        <v>29.262499999999999</v>
      </c>
      <c r="S41" s="3">
        <v>28.767499999999998</v>
      </c>
      <c r="T41" s="3">
        <v>575</v>
      </c>
      <c r="U41" s="3">
        <v>12900</v>
      </c>
      <c r="V41" s="3">
        <v>1475</v>
      </c>
    </row>
    <row r="42" spans="1:22" x14ac:dyDescent="0.25">
      <c r="A42" s="3">
        <v>5</v>
      </c>
      <c r="B42" s="3">
        <v>2004</v>
      </c>
      <c r="C42" s="2">
        <v>0.17</v>
      </c>
      <c r="D42" t="str">
        <f>IF(C42&gt;=0.5,"El Niño",IF(C42&lt;=-0.5,"La Niña","Neutro"))</f>
        <v>Neutro</v>
      </c>
      <c r="E42" s="2">
        <v>133.39788579149339</v>
      </c>
      <c r="F42" s="2">
        <v>129.16884823831839</v>
      </c>
      <c r="G42" s="2">
        <v>119.71744119248019</v>
      </c>
      <c r="H42" s="3">
        <v>0.65709499999999998</v>
      </c>
      <c r="I42" s="3">
        <v>0.46668539999999997</v>
      </c>
      <c r="J42" s="3">
        <v>0.41935790000000001</v>
      </c>
      <c r="K42" s="3">
        <v>110.4857206898165</v>
      </c>
      <c r="L42" s="3">
        <v>90.785386824109594</v>
      </c>
      <c r="M42" s="3">
        <v>83.110806204542428</v>
      </c>
      <c r="N42" s="3">
        <v>100.48</v>
      </c>
      <c r="O42" s="3">
        <v>3.72</v>
      </c>
      <c r="P42" s="3">
        <v>27.02</v>
      </c>
      <c r="Q42" s="3">
        <v>26.157499999999999</v>
      </c>
      <c r="R42" s="3">
        <v>29.3675</v>
      </c>
      <c r="S42" s="3">
        <v>28.702500000000001</v>
      </c>
      <c r="T42" s="3">
        <v>0</v>
      </c>
      <c r="U42" s="3">
        <v>19575</v>
      </c>
      <c r="V42" s="3">
        <v>750</v>
      </c>
    </row>
    <row r="43" spans="1:22" x14ac:dyDescent="0.25">
      <c r="A43" s="3">
        <v>6</v>
      </c>
      <c r="B43" s="3">
        <v>2004</v>
      </c>
      <c r="C43" s="2">
        <v>0.28000000000000003</v>
      </c>
      <c r="D43" t="str">
        <f>IF(C43&gt;=0.5,"El Niño",IF(C43&lt;=-0.5,"La Niña","Neutro"))</f>
        <v>Neutro</v>
      </c>
      <c r="E43" s="2">
        <v>133.36263735416509</v>
      </c>
      <c r="F43" s="2">
        <v>111.89764752646251</v>
      </c>
      <c r="G43" s="2">
        <v>104.75708833831951</v>
      </c>
      <c r="H43" s="3">
        <v>0.66920360000000001</v>
      </c>
      <c r="I43" s="3">
        <v>0.35907280000000003</v>
      </c>
      <c r="J43" s="3">
        <v>0.3398581</v>
      </c>
      <c r="K43" s="3">
        <v>98.499581923502717</v>
      </c>
      <c r="L43" s="3">
        <v>63.967809688309011</v>
      </c>
      <c r="M43" s="3">
        <v>58.57874347160071</v>
      </c>
      <c r="N43" s="3">
        <v>91</v>
      </c>
      <c r="O43" s="3">
        <v>2.0790000000000002</v>
      </c>
      <c r="P43" s="3">
        <v>19.75</v>
      </c>
      <c r="Q43" s="3">
        <v>24.487500000000001</v>
      </c>
      <c r="R43" s="3">
        <v>28.3825</v>
      </c>
      <c r="S43" s="3">
        <v>28.3475</v>
      </c>
      <c r="T43" s="3">
        <v>0</v>
      </c>
      <c r="U43" s="3">
        <v>16950</v>
      </c>
      <c r="V43" s="3">
        <v>500</v>
      </c>
    </row>
    <row r="44" spans="1:22" x14ac:dyDescent="0.25">
      <c r="A44" s="3">
        <v>7</v>
      </c>
      <c r="B44" s="3">
        <v>2004</v>
      </c>
      <c r="C44" s="2">
        <v>0.47</v>
      </c>
      <c r="D44" t="str">
        <f>IF(C44&gt;=0.5,"El Niño",IF(C44&lt;=-0.5,"La Niña","Neutro"))</f>
        <v>Neutro</v>
      </c>
      <c r="E44" s="2">
        <v>143.48236893892519</v>
      </c>
      <c r="F44" s="2">
        <v>97.012936082291176</v>
      </c>
      <c r="G44" s="2">
        <v>97.304304825583245</v>
      </c>
      <c r="H44" s="3">
        <v>0.63855289999999998</v>
      </c>
      <c r="I44" s="3">
        <v>0.22563929999999999</v>
      </c>
      <c r="J44" s="3">
        <v>0.26835609999999999</v>
      </c>
      <c r="K44" s="3">
        <v>95.210126806792132</v>
      </c>
      <c r="L44" s="3">
        <v>44.909723822457011</v>
      </c>
      <c r="M44" s="3">
        <v>46.968305752228403</v>
      </c>
      <c r="N44" s="3">
        <v>75.22</v>
      </c>
      <c r="O44" s="3">
        <v>0.59</v>
      </c>
      <c r="P44" s="3">
        <v>16.309999999999999</v>
      </c>
      <c r="Q44" s="3">
        <v>23.447500000000002</v>
      </c>
      <c r="R44" s="3">
        <v>28.97</v>
      </c>
      <c r="S44" s="3">
        <v>28.885000000000002</v>
      </c>
      <c r="T44" s="3">
        <v>0</v>
      </c>
      <c r="U44" s="3">
        <v>31950</v>
      </c>
      <c r="V44" s="3">
        <v>1450</v>
      </c>
    </row>
    <row r="45" spans="1:22" x14ac:dyDescent="0.25">
      <c r="A45" s="3">
        <v>8</v>
      </c>
      <c r="B45" s="3">
        <v>2004</v>
      </c>
      <c r="C45" s="2">
        <v>0.64</v>
      </c>
      <c r="D45" t="str">
        <f>IF(C45&gt;=0.5,"El Niño",IF(C45&lt;=-0.5,"La Niña","Neutro"))</f>
        <v>El Niño</v>
      </c>
      <c r="E45" s="2">
        <v>159.96975095552821</v>
      </c>
      <c r="F45" s="2">
        <v>66.048494570283651</v>
      </c>
      <c r="G45" s="2">
        <v>76.202546281365869</v>
      </c>
      <c r="H45" s="3">
        <v>0.53533399999999998</v>
      </c>
      <c r="I45" s="3">
        <v>0.13955609999999999</v>
      </c>
      <c r="J45" s="3">
        <v>0.1746769</v>
      </c>
      <c r="K45" s="3">
        <v>98.263561466015929</v>
      </c>
      <c r="L45" s="3">
        <v>32.862046421718077</v>
      </c>
      <c r="M45" s="3">
        <v>36.049768173978073</v>
      </c>
      <c r="N45" s="3">
        <v>30.69</v>
      </c>
      <c r="O45" s="3">
        <v>1.26</v>
      </c>
      <c r="P45" s="3">
        <v>8.1199999999999992</v>
      </c>
      <c r="Q45" s="3">
        <v>27.375</v>
      </c>
      <c r="R45" s="3">
        <v>33.472499999999997</v>
      </c>
      <c r="S45" s="3">
        <v>32.542499999999997</v>
      </c>
      <c r="T45" s="3">
        <v>1075</v>
      </c>
      <c r="U45" s="3">
        <v>135300</v>
      </c>
      <c r="V45" s="3">
        <v>12050</v>
      </c>
    </row>
    <row r="46" spans="1:22" x14ac:dyDescent="0.25">
      <c r="A46" s="3">
        <v>9</v>
      </c>
      <c r="B46" s="3">
        <v>2004</v>
      </c>
      <c r="C46" s="2">
        <v>0.7</v>
      </c>
      <c r="D46" t="str">
        <f>IF(C46&gt;=0.5,"El Niño",IF(C46&lt;=-0.5,"La Niña","Neutro"))</f>
        <v>El Niño</v>
      </c>
      <c r="E46" s="2">
        <v>154.09691127802739</v>
      </c>
      <c r="F46" s="2">
        <v>34.475069712634628</v>
      </c>
      <c r="G46" s="2">
        <v>58.777717913183743</v>
      </c>
      <c r="H46" s="3">
        <v>0.41379470000000002</v>
      </c>
      <c r="I46" s="3">
        <v>0.1046339</v>
      </c>
      <c r="J46" s="3">
        <v>0.1188038</v>
      </c>
      <c r="K46" s="3">
        <v>87.074106349305339</v>
      </c>
      <c r="L46" s="3">
        <v>27.959224515574459</v>
      </c>
      <c r="M46" s="3">
        <v>27.822940101559581</v>
      </c>
      <c r="N46" s="3">
        <v>28.34</v>
      </c>
      <c r="O46" s="3">
        <v>3.9</v>
      </c>
      <c r="P46" s="3">
        <v>6.51</v>
      </c>
      <c r="Q46" s="3">
        <v>30.954999999999998</v>
      </c>
      <c r="R46" s="3">
        <v>37.58</v>
      </c>
      <c r="S46" s="3">
        <v>36.005000000000003</v>
      </c>
      <c r="T46" s="3">
        <v>2350</v>
      </c>
      <c r="U46" s="3">
        <v>421875</v>
      </c>
      <c r="V46" s="3">
        <v>41525</v>
      </c>
    </row>
    <row r="47" spans="1:22" x14ac:dyDescent="0.25">
      <c r="A47" s="3">
        <v>10</v>
      </c>
      <c r="B47" s="3">
        <v>2004</v>
      </c>
      <c r="C47" s="2">
        <v>0.67</v>
      </c>
      <c r="D47" t="str">
        <f>IF(C47&gt;=0.5,"El Niño",IF(C47&lt;=-0.5,"La Niña","Neutro"))</f>
        <v>El Niño</v>
      </c>
      <c r="E47" s="2">
        <v>51.304559327132139</v>
      </c>
      <c r="F47" s="2">
        <v>55.52937555235409</v>
      </c>
      <c r="G47" s="2">
        <v>51.304559327132139</v>
      </c>
      <c r="H47" s="3">
        <v>0.39696559999999997</v>
      </c>
      <c r="I47" s="3">
        <v>0.17808360000000001</v>
      </c>
      <c r="J47" s="3">
        <v>0.1233398</v>
      </c>
      <c r="K47" s="3">
        <v>93.593983011865959</v>
      </c>
      <c r="L47" s="3">
        <v>46.339203005728557</v>
      </c>
      <c r="M47" s="3">
        <v>31.629926483891591</v>
      </c>
      <c r="N47" s="3">
        <v>55.56</v>
      </c>
      <c r="O47" s="3">
        <v>82.79</v>
      </c>
      <c r="P47" s="3">
        <v>29.32</v>
      </c>
      <c r="Q47" s="3">
        <v>33.167499999999997</v>
      </c>
      <c r="R47" s="3">
        <v>38.682499999999997</v>
      </c>
      <c r="S47" s="3">
        <v>38.445</v>
      </c>
      <c r="T47" s="3">
        <v>6000</v>
      </c>
      <c r="U47" s="3">
        <v>230750</v>
      </c>
      <c r="V47" s="3">
        <v>53775</v>
      </c>
    </row>
    <row r="48" spans="1:22" x14ac:dyDescent="0.25">
      <c r="A48" s="3">
        <v>11</v>
      </c>
      <c r="B48" s="3">
        <v>2004</v>
      </c>
      <c r="C48" s="2">
        <v>0.66</v>
      </c>
      <c r="D48" t="str">
        <f>IF(C48&gt;=0.5,"El Niño",IF(C48&lt;=-0.5,"La Niña","Neutro"))</f>
        <v>El Niño</v>
      </c>
      <c r="E48" s="2">
        <v>141.31013409197359</v>
      </c>
      <c r="F48" s="2">
        <v>71.070722509412718</v>
      </c>
      <c r="G48" s="2">
        <v>70.231714919686127</v>
      </c>
      <c r="H48" s="3">
        <v>0.49220740000000002</v>
      </c>
      <c r="I48" s="3">
        <v>0.28939130000000002</v>
      </c>
      <c r="J48" s="3">
        <v>0.2341587</v>
      </c>
      <c r="K48" s="3">
        <v>112.714594475543</v>
      </c>
      <c r="L48" s="3">
        <v>69.069464291839779</v>
      </c>
      <c r="M48" s="3">
        <v>58.581943623578233</v>
      </c>
      <c r="N48" s="3">
        <v>165.42</v>
      </c>
      <c r="O48" s="3">
        <v>135.47999999999999</v>
      </c>
      <c r="P48" s="3">
        <v>120.27</v>
      </c>
      <c r="Q48" s="3">
        <v>33.229999999999997</v>
      </c>
      <c r="R48" s="3">
        <v>36.322500000000012</v>
      </c>
      <c r="S48" s="3">
        <v>36.92</v>
      </c>
      <c r="T48" s="3">
        <v>5225</v>
      </c>
      <c r="U48" s="3">
        <v>40750</v>
      </c>
      <c r="V48" s="3">
        <v>26775</v>
      </c>
    </row>
    <row r="49" spans="1:22" x14ac:dyDescent="0.25">
      <c r="A49" s="3">
        <v>12</v>
      </c>
      <c r="B49" s="3">
        <v>2004</v>
      </c>
      <c r="C49" s="2">
        <v>0.69</v>
      </c>
      <c r="D49" t="str">
        <f>IF(C49&gt;=0.5,"El Niño",IF(C49&lt;=-0.5,"La Niña","Neutro"))</f>
        <v>El Niño</v>
      </c>
      <c r="E49" s="2">
        <v>144.3258238358747</v>
      </c>
      <c r="F49" s="2">
        <v>93.906879860211546</v>
      </c>
      <c r="G49" s="2">
        <v>83.088435128929561</v>
      </c>
      <c r="H49" s="3">
        <v>0.48938540000000003</v>
      </c>
      <c r="I49" s="3">
        <v>0.38164999999999999</v>
      </c>
      <c r="J49" s="3">
        <v>0.31446970000000002</v>
      </c>
      <c r="K49" s="3">
        <v>116.0879993529072</v>
      </c>
      <c r="L49" s="3">
        <v>85.077817416518187</v>
      </c>
      <c r="M49" s="3">
        <v>76.905548868008736</v>
      </c>
      <c r="N49" s="3">
        <v>56.99</v>
      </c>
      <c r="O49" s="3">
        <v>114.36</v>
      </c>
      <c r="P49" s="3">
        <v>31.33</v>
      </c>
      <c r="Q49" s="3">
        <v>32.18</v>
      </c>
      <c r="R49" s="3">
        <v>32.445</v>
      </c>
      <c r="S49" s="3">
        <v>33.612499999999997</v>
      </c>
      <c r="T49" s="3">
        <v>4825</v>
      </c>
      <c r="U49" s="3">
        <v>27625</v>
      </c>
      <c r="V49" s="3">
        <v>7950</v>
      </c>
    </row>
    <row r="50" spans="1:22" x14ac:dyDescent="0.25">
      <c r="A50" s="3">
        <v>1</v>
      </c>
      <c r="B50" s="3">
        <v>2005</v>
      </c>
      <c r="C50" s="2">
        <v>0.64</v>
      </c>
      <c r="D50" t="str">
        <f>IF(C50&gt;=0.5,"El Niño",IF(C50&lt;=-0.5,"La Niña","Neutro"))</f>
        <v>El Niño</v>
      </c>
      <c r="E50" s="2">
        <v>136.88768385364571</v>
      </c>
      <c r="F50" s="2">
        <v>110.17886688216041</v>
      </c>
      <c r="G50" s="2">
        <v>82.794191312587827</v>
      </c>
      <c r="H50" s="3">
        <v>0.47210180000000002</v>
      </c>
      <c r="I50" s="3">
        <v>0.48689850000000001</v>
      </c>
      <c r="J50" s="3">
        <v>0.33398359999999999</v>
      </c>
      <c r="K50" s="3">
        <v>109.3852069137573</v>
      </c>
      <c r="L50" s="3">
        <v>100.622295782577</v>
      </c>
      <c r="M50" s="3">
        <v>78.290912287261634</v>
      </c>
      <c r="N50" s="3">
        <v>111.46</v>
      </c>
      <c r="O50" s="3">
        <v>224.32</v>
      </c>
      <c r="P50" s="3">
        <v>127.36</v>
      </c>
      <c r="Q50" s="3">
        <v>33.776666666666657</v>
      </c>
      <c r="R50" s="3">
        <v>31.588933333333369</v>
      </c>
      <c r="S50" s="3">
        <v>33.85</v>
      </c>
      <c r="T50" s="3">
        <v>2850</v>
      </c>
      <c r="U50" s="3">
        <v>1850</v>
      </c>
      <c r="V50" s="3">
        <v>1375</v>
      </c>
    </row>
    <row r="51" spans="1:22" x14ac:dyDescent="0.25">
      <c r="A51" s="3">
        <v>2</v>
      </c>
      <c r="B51" s="3">
        <v>2005</v>
      </c>
      <c r="C51" s="2">
        <v>0.57999999999999996</v>
      </c>
      <c r="D51" t="str">
        <f>IF(C51&gt;=0.5,"El Niño",IF(C51&lt;=-0.5,"La Niña","Neutro"))</f>
        <v>El Niño</v>
      </c>
      <c r="E51" s="2">
        <v>141.62606900619289</v>
      </c>
      <c r="F51" s="2">
        <v>145.5367806281603</v>
      </c>
      <c r="G51" s="2">
        <v>120.0844635303862</v>
      </c>
      <c r="H51" s="3">
        <v>0.5653416</v>
      </c>
      <c r="I51" s="3">
        <v>0.58076850000000002</v>
      </c>
      <c r="J51" s="3">
        <v>0.45067570000000001</v>
      </c>
      <c r="K51" s="3">
        <v>125.75830695585741</v>
      </c>
      <c r="L51" s="3">
        <v>130.97482298768941</v>
      </c>
      <c r="M51" s="3">
        <v>109.50042451180239</v>
      </c>
      <c r="N51" s="3">
        <v>192.78</v>
      </c>
      <c r="O51" s="3">
        <v>244.18</v>
      </c>
      <c r="P51" s="3">
        <v>177.15</v>
      </c>
      <c r="Q51" s="3">
        <v>31.945</v>
      </c>
      <c r="R51" s="3">
        <v>29.56320000000002</v>
      </c>
      <c r="S51" s="3">
        <v>31.022500000000001</v>
      </c>
      <c r="T51" s="3">
        <v>350</v>
      </c>
      <c r="U51" s="3">
        <v>1000</v>
      </c>
      <c r="V51" s="3">
        <v>0</v>
      </c>
    </row>
    <row r="52" spans="1:22" x14ac:dyDescent="0.25">
      <c r="A52" s="3">
        <v>3</v>
      </c>
      <c r="B52" s="3">
        <v>2005</v>
      </c>
      <c r="C52" s="2">
        <v>0.45</v>
      </c>
      <c r="D52" t="str">
        <f>IF(C52&gt;=0.5,"El Niño",IF(C52&lt;=-0.5,"La Niña","Neutro"))</f>
        <v>Neutro</v>
      </c>
      <c r="E52" s="2">
        <v>149.3444577437777</v>
      </c>
      <c r="F52" s="2">
        <v>129.54427529125959</v>
      </c>
      <c r="G52" s="2">
        <v>129.75234310811371</v>
      </c>
      <c r="H52" s="3">
        <v>0.55293460000000005</v>
      </c>
      <c r="I52" s="3">
        <v>0.60870120000000005</v>
      </c>
      <c r="J52" s="3">
        <v>0.4814116</v>
      </c>
      <c r="K52" s="3">
        <v>131.07239038404569</v>
      </c>
      <c r="L52" s="3">
        <v>121.497952932583</v>
      </c>
      <c r="M52" s="3">
        <v>115.6864139336847</v>
      </c>
      <c r="N52" s="3">
        <v>104.43</v>
      </c>
      <c r="O52" s="3">
        <v>225.92</v>
      </c>
      <c r="P52" s="3">
        <v>105.19</v>
      </c>
      <c r="Q52" s="3">
        <v>29.4575</v>
      </c>
      <c r="R52" s="3">
        <v>28.676350000000038</v>
      </c>
      <c r="S52" s="3">
        <v>30.172499999999999</v>
      </c>
      <c r="T52" s="3">
        <v>1325</v>
      </c>
      <c r="U52" s="3">
        <v>9800</v>
      </c>
      <c r="V52" s="3">
        <v>850</v>
      </c>
    </row>
    <row r="53" spans="1:22" x14ac:dyDescent="0.25">
      <c r="A53" s="3">
        <v>4</v>
      </c>
      <c r="B53" s="3">
        <v>2005</v>
      </c>
      <c r="C53" s="2">
        <v>0.43</v>
      </c>
      <c r="D53" t="str">
        <f>IF(C53&gt;=0.5,"El Niño",IF(C53&lt;=-0.5,"La Niña","Neutro"))</f>
        <v>Neutro</v>
      </c>
      <c r="E53" s="2">
        <v>144.6075732957097</v>
      </c>
      <c r="F53" s="2">
        <v>147.81112496620301</v>
      </c>
      <c r="G53" s="2">
        <v>137.8136241514857</v>
      </c>
      <c r="H53" s="3">
        <v>0.62421979999999999</v>
      </c>
      <c r="I53" s="3">
        <v>0.56284520000000005</v>
      </c>
      <c r="J53" s="3">
        <v>0.51349029999999996</v>
      </c>
      <c r="K53" s="3">
        <v>125.4794282974444</v>
      </c>
      <c r="L53" s="3">
        <v>120.0516567222304</v>
      </c>
      <c r="M53" s="3">
        <v>111.2317546166186</v>
      </c>
      <c r="N53" s="3">
        <v>154.06</v>
      </c>
      <c r="O53" s="3">
        <v>66.91</v>
      </c>
      <c r="P53" s="3">
        <v>92.168000000000006</v>
      </c>
      <c r="Q53" s="3">
        <v>27.202500000000001</v>
      </c>
      <c r="R53" s="3">
        <v>29.611450000000019</v>
      </c>
      <c r="S53" s="3">
        <v>29.177499999999998</v>
      </c>
      <c r="T53" s="3">
        <v>0</v>
      </c>
      <c r="U53" s="3">
        <v>11275</v>
      </c>
      <c r="V53" s="3">
        <v>1300</v>
      </c>
    </row>
    <row r="54" spans="1:22" x14ac:dyDescent="0.25">
      <c r="A54" s="3">
        <v>5</v>
      </c>
      <c r="B54" s="3">
        <v>2005</v>
      </c>
      <c r="C54" s="2">
        <v>0.28999999999999998</v>
      </c>
      <c r="D54" t="str">
        <f>IF(C54&gt;=0.5,"El Niño",IF(C54&lt;=-0.5,"La Niña","Neutro"))</f>
        <v>Neutro</v>
      </c>
      <c r="E54" s="2">
        <v>137.69487320338541</v>
      </c>
      <c r="F54" s="2">
        <v>144.15348805300991</v>
      </c>
      <c r="G54" s="2">
        <v>136.0588081828698</v>
      </c>
      <c r="H54" s="3">
        <v>0.65210710000000005</v>
      </c>
      <c r="I54" s="3">
        <v>0.51682740000000005</v>
      </c>
      <c r="J54" s="3">
        <v>0.50063310000000005</v>
      </c>
      <c r="K54" s="3">
        <v>113.2676184647529</v>
      </c>
      <c r="L54" s="3">
        <v>96.767556251475526</v>
      </c>
      <c r="M54" s="3">
        <v>92.562095842329356</v>
      </c>
      <c r="N54" s="3">
        <v>158.49</v>
      </c>
      <c r="O54" s="3">
        <v>50.17</v>
      </c>
      <c r="P54" s="3">
        <v>64.400000000000006</v>
      </c>
      <c r="Q54" s="3">
        <v>25.895</v>
      </c>
      <c r="R54" s="3">
        <v>27.612800000000028</v>
      </c>
      <c r="S54" s="3">
        <v>27.39</v>
      </c>
      <c r="T54" s="3">
        <v>550</v>
      </c>
      <c r="U54" s="3">
        <v>11275</v>
      </c>
      <c r="V54" s="3">
        <v>750</v>
      </c>
    </row>
    <row r="55" spans="1:22" x14ac:dyDescent="0.25">
      <c r="A55" s="3">
        <v>6</v>
      </c>
      <c r="B55" s="3">
        <v>2005</v>
      </c>
      <c r="C55" s="2">
        <v>0.11</v>
      </c>
      <c r="D55" t="str">
        <f>IF(C55&gt;=0.5,"El Niño",IF(C55&lt;=-0.5,"La Niña","Neutro"))</f>
        <v>Neutro</v>
      </c>
      <c r="E55" s="2">
        <v>134.65851937944149</v>
      </c>
      <c r="F55" s="2">
        <v>125.1374035019754</v>
      </c>
      <c r="G55" s="2">
        <v>115.44851328778989</v>
      </c>
      <c r="H55" s="3">
        <v>0.68207640000000003</v>
      </c>
      <c r="I55" s="3">
        <v>0.41814370000000001</v>
      </c>
      <c r="J55" s="3">
        <v>0.39201910000000001</v>
      </c>
      <c r="K55" s="3">
        <v>104.53930659722759</v>
      </c>
      <c r="L55" s="3">
        <v>74.931188469431191</v>
      </c>
      <c r="M55" s="3">
        <v>68.305941657519867</v>
      </c>
      <c r="N55" s="3">
        <v>165.6</v>
      </c>
      <c r="O55" s="3">
        <v>2.21</v>
      </c>
      <c r="P55" s="3">
        <v>38.54</v>
      </c>
      <c r="Q55" s="3">
        <v>24.3325</v>
      </c>
      <c r="R55" s="3">
        <v>28.141350000000021</v>
      </c>
      <c r="S55" s="3">
        <v>28.087499999999999</v>
      </c>
      <c r="T55" s="3">
        <v>0</v>
      </c>
      <c r="U55" s="3">
        <v>16925</v>
      </c>
      <c r="V55" s="3">
        <v>2000</v>
      </c>
    </row>
    <row r="56" spans="1:22" x14ac:dyDescent="0.25">
      <c r="A56" s="3">
        <v>7</v>
      </c>
      <c r="B56" s="3">
        <v>2005</v>
      </c>
      <c r="C56" s="2">
        <v>-0.06</v>
      </c>
      <c r="D56" t="str">
        <f>IF(C56&gt;=0.5,"El Niño",IF(C56&lt;=-0.5,"La Niña","Neutro"))</f>
        <v>Neutro</v>
      </c>
      <c r="E56" s="2">
        <v>145.94370951172169</v>
      </c>
      <c r="F56" s="2">
        <v>111.3333016549436</v>
      </c>
      <c r="G56" s="2">
        <v>104.5850172611365</v>
      </c>
      <c r="H56" s="3">
        <v>0.62120679999999995</v>
      </c>
      <c r="I56" s="3">
        <v>0.255214</v>
      </c>
      <c r="J56" s="3">
        <v>0.30171900000000001</v>
      </c>
      <c r="K56" s="3">
        <v>99.111320420064558</v>
      </c>
      <c r="L56" s="3">
        <v>50.761912237407358</v>
      </c>
      <c r="M56" s="3">
        <v>53.446395298346353</v>
      </c>
      <c r="N56" s="3">
        <v>65.81</v>
      </c>
      <c r="O56" s="3">
        <v>1.1000000000000001</v>
      </c>
      <c r="P56" s="3">
        <v>24.01</v>
      </c>
      <c r="Q56" s="3">
        <v>24.682500000000001</v>
      </c>
      <c r="R56" s="3">
        <v>29.43972000000004</v>
      </c>
      <c r="S56" s="3">
        <v>29.25</v>
      </c>
      <c r="T56" s="3">
        <v>25</v>
      </c>
      <c r="U56" s="3">
        <v>26175</v>
      </c>
      <c r="V56" s="3">
        <v>3325</v>
      </c>
    </row>
    <row r="57" spans="1:22" x14ac:dyDescent="0.25">
      <c r="A57" s="3">
        <v>8</v>
      </c>
      <c r="B57" s="3">
        <v>2005</v>
      </c>
      <c r="C57" s="2">
        <v>-0.14000000000000001</v>
      </c>
      <c r="D57" t="str">
        <f>IF(C57&gt;=0.5,"El Niño",IF(C57&lt;=-0.5,"La Niña","Neutro"))</f>
        <v>Neutro</v>
      </c>
      <c r="E57" s="2">
        <v>152.3594896525405</v>
      </c>
      <c r="F57" s="2">
        <v>74.648027465365629</v>
      </c>
      <c r="G57" s="2">
        <v>83.343004673497177</v>
      </c>
      <c r="H57" s="3">
        <v>0.55143299999999995</v>
      </c>
      <c r="I57" s="3">
        <v>0.1540184</v>
      </c>
      <c r="J57" s="3">
        <v>0.20069780000000001</v>
      </c>
      <c r="K57" s="3">
        <v>94.114805560319965</v>
      </c>
      <c r="L57" s="3">
        <v>36.979043437378301</v>
      </c>
      <c r="M57" s="3">
        <v>40.545010553994231</v>
      </c>
      <c r="N57" s="3">
        <v>66.739999999999995</v>
      </c>
      <c r="O57" s="3">
        <v>1.046</v>
      </c>
      <c r="P57" s="3">
        <v>23.07</v>
      </c>
      <c r="Q57" s="3">
        <v>26.37</v>
      </c>
      <c r="R57" s="3">
        <v>33.209450000000047</v>
      </c>
      <c r="S57" s="3">
        <v>32.622500000000002</v>
      </c>
      <c r="T57" s="3">
        <v>600</v>
      </c>
      <c r="U57" s="3">
        <v>111050</v>
      </c>
      <c r="V57" s="3">
        <v>8125</v>
      </c>
    </row>
    <row r="58" spans="1:22" x14ac:dyDescent="0.25">
      <c r="A58" s="3">
        <v>9</v>
      </c>
      <c r="B58" s="3">
        <v>2005</v>
      </c>
      <c r="C58" s="2">
        <v>-0.11</v>
      </c>
      <c r="D58" t="str">
        <f>IF(C58&gt;=0.5,"El Niño",IF(C58&lt;=-0.5,"La Niña","Neutro"))</f>
        <v>Neutro</v>
      </c>
      <c r="E58" s="2">
        <v>150.98526915730409</v>
      </c>
      <c r="F58" s="2">
        <v>41.442796899149727</v>
      </c>
      <c r="G58" s="2">
        <v>59.314529976870617</v>
      </c>
      <c r="H58" s="3">
        <v>0.49911040000000001</v>
      </c>
      <c r="I58" s="3">
        <v>0.1186868</v>
      </c>
      <c r="J58" s="3">
        <v>0.137713</v>
      </c>
      <c r="K58" s="3">
        <v>90.835253496639794</v>
      </c>
      <c r="L58" s="3">
        <v>32.222988294688918</v>
      </c>
      <c r="M58" s="3">
        <v>32.538837733846357</v>
      </c>
      <c r="N58" s="3">
        <v>39.19</v>
      </c>
      <c r="O58" s="3">
        <v>32.5</v>
      </c>
      <c r="P58" s="3">
        <v>10.48</v>
      </c>
      <c r="Q58" s="3">
        <v>29.565000000000001</v>
      </c>
      <c r="R58" s="3">
        <v>36.547300000000007</v>
      </c>
      <c r="S58" s="3">
        <v>36.127499999999998</v>
      </c>
      <c r="T58" s="3">
        <v>1625</v>
      </c>
      <c r="U58" s="3">
        <v>274850</v>
      </c>
      <c r="V58" s="3">
        <v>29525</v>
      </c>
    </row>
    <row r="59" spans="1:22" x14ac:dyDescent="0.25">
      <c r="A59" s="3">
        <v>10</v>
      </c>
      <c r="B59" s="3">
        <v>2005</v>
      </c>
      <c r="C59" s="2">
        <v>-0.28999999999999998</v>
      </c>
      <c r="D59" t="str">
        <f>IF(C59&gt;=0.5,"El Niño",IF(C59&lt;=-0.5,"La Niña","Neutro"))</f>
        <v>Neutro</v>
      </c>
      <c r="E59" s="2">
        <v>139.31129286866619</v>
      </c>
      <c r="F59" s="2">
        <v>29.606937970888161</v>
      </c>
      <c r="G59" s="2">
        <v>43.997771031792198</v>
      </c>
      <c r="H59" s="3">
        <v>0.39087719999999998</v>
      </c>
      <c r="I59" s="3">
        <v>0.1271613</v>
      </c>
      <c r="J59" s="3">
        <v>0.1043033</v>
      </c>
      <c r="K59" s="3">
        <v>100.9036710819703</v>
      </c>
      <c r="L59" s="3">
        <v>35.489832864865299</v>
      </c>
      <c r="M59" s="3">
        <v>27.555320358956418</v>
      </c>
      <c r="N59" s="3">
        <v>14.9</v>
      </c>
      <c r="O59" s="3">
        <v>23.4</v>
      </c>
      <c r="P59" s="3">
        <v>9.2200000000000006</v>
      </c>
      <c r="Q59" s="3">
        <v>34.182499999999997</v>
      </c>
      <c r="R59" s="3">
        <v>39.956450000000032</v>
      </c>
      <c r="S59" s="3">
        <v>39.197499999999998</v>
      </c>
      <c r="T59" s="3">
        <v>26250</v>
      </c>
      <c r="U59" s="3">
        <v>611200</v>
      </c>
      <c r="V59" s="3">
        <v>161825</v>
      </c>
    </row>
    <row r="60" spans="1:22" x14ac:dyDescent="0.25">
      <c r="A60" s="3">
        <v>11</v>
      </c>
      <c r="B60" s="3">
        <v>2005</v>
      </c>
      <c r="C60" s="2">
        <v>-0.56999999999999995</v>
      </c>
      <c r="D60" t="str">
        <f>IF(C60&gt;=0.5,"El Niño",IF(C60&lt;=-0.5,"La Niña","Neutro"))</f>
        <v>La Niña</v>
      </c>
      <c r="E60" s="2">
        <v>122.80565857720261</v>
      </c>
      <c r="F60" s="2">
        <v>84.796173573362708</v>
      </c>
      <c r="G60" s="2">
        <v>77.79542313142997</v>
      </c>
      <c r="H60" s="3">
        <v>0.54949079999999995</v>
      </c>
      <c r="I60" s="3">
        <v>0.44214629999999999</v>
      </c>
      <c r="J60" s="3">
        <v>0.29625249999999997</v>
      </c>
      <c r="K60" s="3">
        <v>104.4382579951039</v>
      </c>
      <c r="L60" s="3">
        <v>83.097769311947246</v>
      </c>
      <c r="M60" s="3">
        <v>65.543393259917735</v>
      </c>
      <c r="N60" s="3">
        <v>174.15</v>
      </c>
      <c r="O60" s="3">
        <v>207.55</v>
      </c>
      <c r="P60" s="3">
        <v>98.52</v>
      </c>
      <c r="Q60" s="3">
        <v>31.954999999999998</v>
      </c>
      <c r="R60" s="3">
        <v>34.51675000000003</v>
      </c>
      <c r="S60" s="3">
        <v>36.077500000000001</v>
      </c>
      <c r="T60" s="3">
        <v>4375</v>
      </c>
      <c r="U60" s="3">
        <v>58875</v>
      </c>
      <c r="V60" s="3">
        <v>24275</v>
      </c>
    </row>
    <row r="61" spans="1:22" x14ac:dyDescent="0.25">
      <c r="A61" s="3">
        <v>12</v>
      </c>
      <c r="B61" s="3">
        <v>2005</v>
      </c>
      <c r="C61" s="2">
        <v>-0.84</v>
      </c>
      <c r="D61" t="str">
        <f>IF(C61&gt;=0.5,"El Niño",IF(C61&lt;=-0.5,"La Niña","Neutro"))</f>
        <v>La Niña</v>
      </c>
      <c r="E61" s="2">
        <v>136.60989836610941</v>
      </c>
      <c r="F61" s="2">
        <v>97.888232789756373</v>
      </c>
      <c r="G61" s="2">
        <v>109.8049917145339</v>
      </c>
      <c r="H61" s="3">
        <v>0.55859879999999995</v>
      </c>
      <c r="I61" s="3">
        <v>0.5473768</v>
      </c>
      <c r="J61" s="3">
        <v>0.44165219999999999</v>
      </c>
      <c r="K61" s="3">
        <v>107.3685571390704</v>
      </c>
      <c r="L61" s="3">
        <v>92.441539628763465</v>
      </c>
      <c r="M61" s="3">
        <v>92.229975333807772</v>
      </c>
      <c r="N61" s="3">
        <v>138.59</v>
      </c>
      <c r="O61" s="3">
        <v>290.89999999999998</v>
      </c>
      <c r="P61" s="3">
        <v>101.73</v>
      </c>
      <c r="Q61" s="3">
        <v>31</v>
      </c>
      <c r="R61" s="3">
        <v>30.112150000000039</v>
      </c>
      <c r="S61" s="3">
        <v>32.227499999999999</v>
      </c>
      <c r="T61" s="3">
        <v>900</v>
      </c>
      <c r="U61" s="3">
        <v>8050</v>
      </c>
      <c r="V61" s="3">
        <v>500</v>
      </c>
    </row>
    <row r="62" spans="1:22" x14ac:dyDescent="0.25">
      <c r="A62" s="3">
        <v>1</v>
      </c>
      <c r="B62" s="3">
        <v>2006</v>
      </c>
      <c r="C62" s="2">
        <v>-0.85</v>
      </c>
      <c r="D62" t="str">
        <f>IF(C62&gt;=0.5,"El Niño",IF(C62&lt;=-0.5,"La Niña","Neutro"))</f>
        <v>La Niña</v>
      </c>
      <c r="E62" s="2">
        <v>147.25704623734879</v>
      </c>
      <c r="F62" s="2">
        <v>144.6607228322498</v>
      </c>
      <c r="G62" s="2">
        <v>105.7925811818461</v>
      </c>
      <c r="H62" s="3">
        <v>0.46946260000000001</v>
      </c>
      <c r="I62" s="3">
        <v>0.47463379999999999</v>
      </c>
      <c r="J62" s="3">
        <v>0.34024589999999999</v>
      </c>
      <c r="K62" s="3">
        <v>102.9187777743127</v>
      </c>
      <c r="L62" s="3">
        <v>104.639859600837</v>
      </c>
      <c r="M62" s="3">
        <v>79.771081230384738</v>
      </c>
      <c r="N62" s="3">
        <v>30.9</v>
      </c>
      <c r="O62" s="3">
        <v>54.81</v>
      </c>
      <c r="P62" s="3">
        <v>10.42</v>
      </c>
      <c r="Q62" s="3">
        <v>30.263333333333328</v>
      </c>
      <c r="R62" s="3">
        <v>31.84666666666666</v>
      </c>
      <c r="S62" s="3">
        <v>32.43</v>
      </c>
      <c r="T62" s="3">
        <v>2525</v>
      </c>
      <c r="U62" s="3">
        <v>9950</v>
      </c>
      <c r="V62" s="3">
        <v>3575</v>
      </c>
    </row>
    <row r="63" spans="1:22" x14ac:dyDescent="0.25">
      <c r="A63" s="3">
        <v>2</v>
      </c>
      <c r="B63" s="3">
        <v>2006</v>
      </c>
      <c r="C63" s="2">
        <v>-0.77</v>
      </c>
      <c r="D63" t="str">
        <f>IF(C63&gt;=0.5,"El Niño",IF(C63&lt;=-0.5,"La Niña","Neutro"))</f>
        <v>La Niña</v>
      </c>
      <c r="E63" s="2">
        <v>128.04996424599531</v>
      </c>
      <c r="F63" s="2">
        <v>115.0736044890407</v>
      </c>
      <c r="G63" s="2">
        <v>81.38461243555362</v>
      </c>
      <c r="H63" s="3">
        <v>0.40481</v>
      </c>
      <c r="I63" s="3">
        <v>0.52631099999999997</v>
      </c>
      <c r="J63" s="3">
        <v>0.27696409999999999</v>
      </c>
      <c r="K63" s="3">
        <v>105.7895437996039</v>
      </c>
      <c r="L63" s="3">
        <v>108.25797840141411</v>
      </c>
      <c r="M63" s="3">
        <v>69.393343477180565</v>
      </c>
      <c r="N63" s="3">
        <v>35.24</v>
      </c>
      <c r="O63" s="3">
        <v>157.68</v>
      </c>
      <c r="P63" s="3">
        <v>80.27</v>
      </c>
      <c r="Q63" s="3">
        <v>32.592500000000001</v>
      </c>
      <c r="R63" s="3">
        <v>31.32</v>
      </c>
      <c r="S63" s="3">
        <v>33.877499999999998</v>
      </c>
      <c r="T63" s="3">
        <v>9550</v>
      </c>
      <c r="U63" s="3">
        <v>1475</v>
      </c>
      <c r="V63" s="3">
        <v>4250</v>
      </c>
    </row>
    <row r="64" spans="1:22" x14ac:dyDescent="0.25">
      <c r="A64" s="3">
        <v>3</v>
      </c>
      <c r="B64" s="3">
        <v>2006</v>
      </c>
      <c r="C64" s="2">
        <v>-0.56999999999999995</v>
      </c>
      <c r="D64" t="str">
        <f>IF(C64&gt;=0.5,"El Niño",IF(C64&lt;=-0.5,"La Niña","Neutro"))</f>
        <v>La Niña</v>
      </c>
      <c r="E64" s="2">
        <v>104.788922811826</v>
      </c>
      <c r="F64" s="2">
        <v>122.562440804912</v>
      </c>
      <c r="G64" s="2">
        <v>104.4750530610867</v>
      </c>
      <c r="H64" s="3">
        <v>0.51246709999999995</v>
      </c>
      <c r="I64" s="3">
        <v>0.58281570000000005</v>
      </c>
      <c r="J64" s="3">
        <v>0.43542629999999999</v>
      </c>
      <c r="K64" s="3">
        <v>101.3977065239424</v>
      </c>
      <c r="L64" s="3">
        <v>115.1178244832401</v>
      </c>
      <c r="M64" s="3">
        <v>92.139763820841083</v>
      </c>
      <c r="N64" s="3">
        <v>189.5</v>
      </c>
      <c r="O64" s="3">
        <v>309.91000000000003</v>
      </c>
      <c r="P64" s="3">
        <v>203.18</v>
      </c>
      <c r="Q64" s="3">
        <v>30.7</v>
      </c>
      <c r="R64" s="3">
        <v>29.717500000000001</v>
      </c>
      <c r="S64" s="3">
        <v>30.637499999999999</v>
      </c>
      <c r="T64" s="3">
        <v>1450</v>
      </c>
      <c r="U64" s="3">
        <v>75</v>
      </c>
      <c r="V64" s="3">
        <v>425</v>
      </c>
    </row>
    <row r="65" spans="1:22" x14ac:dyDescent="0.25">
      <c r="A65" s="3">
        <v>4</v>
      </c>
      <c r="B65" s="3">
        <v>2006</v>
      </c>
      <c r="C65" s="2">
        <v>-0.37</v>
      </c>
      <c r="D65" t="str">
        <f>IF(C65&gt;=0.5,"El Niño",IF(C65&lt;=-0.5,"La Niña","Neutro"))</f>
        <v>Neutro</v>
      </c>
      <c r="E65" s="2">
        <v>121.5422153605372</v>
      </c>
      <c r="F65" s="2">
        <v>125.11279542056511</v>
      </c>
      <c r="G65" s="2">
        <v>129.19430135080469</v>
      </c>
      <c r="H65" s="3">
        <v>0.66618900000000003</v>
      </c>
      <c r="I65" s="3">
        <v>0.64401459999999999</v>
      </c>
      <c r="J65" s="3">
        <v>0.61816479999999996</v>
      </c>
      <c r="K65" s="3">
        <v>114.2928889963046</v>
      </c>
      <c r="L65" s="3">
        <v>112.4923293138656</v>
      </c>
      <c r="M65" s="3">
        <v>114.9309189529523</v>
      </c>
      <c r="N65" s="3">
        <v>180.2</v>
      </c>
      <c r="O65" s="3">
        <v>183.28</v>
      </c>
      <c r="P65" s="3">
        <v>154.88</v>
      </c>
      <c r="Q65" s="3">
        <v>27.704999999999998</v>
      </c>
      <c r="R65" s="3">
        <v>28.491700000000009</v>
      </c>
      <c r="S65" s="3">
        <v>27.0975</v>
      </c>
      <c r="T65" s="3">
        <v>0</v>
      </c>
      <c r="U65" s="3">
        <v>6275</v>
      </c>
      <c r="V65" s="3">
        <v>0</v>
      </c>
    </row>
    <row r="66" spans="1:22" x14ac:dyDescent="0.25">
      <c r="A66" s="3">
        <v>5</v>
      </c>
      <c r="B66" s="3">
        <v>2006</v>
      </c>
      <c r="C66" s="2">
        <v>-0.14000000000000001</v>
      </c>
      <c r="D66" t="str">
        <f>IF(C66&gt;=0.5,"El Niño",IF(C66&lt;=-0.5,"La Niña","Neutro"))</f>
        <v>Neutro</v>
      </c>
      <c r="E66" s="2">
        <v>142.5229164859692</v>
      </c>
      <c r="F66" s="2">
        <v>141.627785927156</v>
      </c>
      <c r="G66" s="2">
        <v>144.5753138907626</v>
      </c>
      <c r="H66" s="3">
        <v>0.66973510000000003</v>
      </c>
      <c r="I66" s="3">
        <v>0.55925990000000003</v>
      </c>
      <c r="J66" s="3">
        <v>0.56151280000000003</v>
      </c>
      <c r="K66" s="3">
        <v>116.0019512185614</v>
      </c>
      <c r="L66" s="3">
        <v>99.64766237277739</v>
      </c>
      <c r="M66" s="3">
        <v>103.602286466588</v>
      </c>
      <c r="N66" s="3">
        <v>86.22</v>
      </c>
      <c r="O66" s="3">
        <v>43.34</v>
      </c>
      <c r="P66" s="3">
        <v>42.73</v>
      </c>
      <c r="Q66" s="3">
        <v>26.2075</v>
      </c>
      <c r="R66" s="3">
        <v>28.105</v>
      </c>
      <c r="S66" s="3">
        <v>27.7775</v>
      </c>
      <c r="T66" s="3">
        <v>0</v>
      </c>
      <c r="U66" s="3">
        <v>8825</v>
      </c>
      <c r="V66" s="3">
        <v>500</v>
      </c>
    </row>
    <row r="67" spans="1:22" x14ac:dyDescent="0.25">
      <c r="A67" s="3">
        <v>6</v>
      </c>
      <c r="B67" s="3">
        <v>2006</v>
      </c>
      <c r="C67" s="2">
        <v>-0.03</v>
      </c>
      <c r="D67" t="str">
        <f>IF(C67&gt;=0.5,"El Niño",IF(C67&lt;=-0.5,"La Niña","Neutro"))</f>
        <v>Neutro</v>
      </c>
      <c r="E67" s="2">
        <v>131.92087224352039</v>
      </c>
      <c r="F67" s="2">
        <v>147.14502438423989</v>
      </c>
      <c r="G67" s="2">
        <v>132.00644274014019</v>
      </c>
      <c r="H67" s="3">
        <v>0.69175799999999998</v>
      </c>
      <c r="I67" s="3">
        <v>0.46035910000000002</v>
      </c>
      <c r="J67" s="3">
        <v>0.44275189999999998</v>
      </c>
      <c r="K67" s="3">
        <v>93.854246253878657</v>
      </c>
      <c r="L67" s="3">
        <v>80.855106862958749</v>
      </c>
      <c r="M67" s="3">
        <v>70.996337902286172</v>
      </c>
      <c r="N67" s="3">
        <v>122.46</v>
      </c>
      <c r="O67" s="3">
        <v>2.34</v>
      </c>
      <c r="P67" s="3">
        <v>36.69</v>
      </c>
      <c r="Q67" s="3">
        <v>24.73</v>
      </c>
      <c r="R67" s="3">
        <v>27.31</v>
      </c>
      <c r="S67" s="3">
        <v>27.372499999999999</v>
      </c>
      <c r="T67" s="3">
        <v>0</v>
      </c>
      <c r="U67" s="3">
        <v>12425</v>
      </c>
      <c r="V67" s="3">
        <v>575</v>
      </c>
    </row>
    <row r="68" spans="1:22" x14ac:dyDescent="0.25">
      <c r="A68" s="3">
        <v>7</v>
      </c>
      <c r="B68" s="3">
        <v>2006</v>
      </c>
      <c r="C68" s="2">
        <v>0.1</v>
      </c>
      <c r="D68" t="str">
        <f>IF(C68&gt;=0.5,"El Niño",IF(C68&lt;=-0.5,"La Niña","Neutro"))</f>
        <v>Neutro</v>
      </c>
      <c r="E68" s="2">
        <v>152.0145219082423</v>
      </c>
      <c r="F68" s="2">
        <v>111.7836614494953</v>
      </c>
      <c r="G68" s="2">
        <v>113.76548036483599</v>
      </c>
      <c r="H68" s="3">
        <v>0.60417589999999999</v>
      </c>
      <c r="I68" s="3">
        <v>0.28446369999999999</v>
      </c>
      <c r="J68" s="3">
        <v>0.31595129999999999</v>
      </c>
      <c r="K68" s="3">
        <v>99.143542326103557</v>
      </c>
      <c r="L68" s="3">
        <v>54.733450366029842</v>
      </c>
      <c r="M68" s="3">
        <v>56.822040734602702</v>
      </c>
      <c r="N68" s="3">
        <v>37.380000000000003</v>
      </c>
      <c r="O68" s="3">
        <v>0.3</v>
      </c>
      <c r="P68" s="3">
        <v>17.22</v>
      </c>
      <c r="Q68" s="3">
        <v>24.807500000000001</v>
      </c>
      <c r="R68" s="3">
        <v>29.434999999999999</v>
      </c>
      <c r="S68" s="3">
        <v>28.512499999999999</v>
      </c>
      <c r="T68" s="3">
        <v>1225</v>
      </c>
      <c r="U68" s="3">
        <v>39350</v>
      </c>
      <c r="V68" s="3">
        <v>2175</v>
      </c>
    </row>
    <row r="69" spans="1:22" x14ac:dyDescent="0.25">
      <c r="A69" s="3">
        <v>8</v>
      </c>
      <c r="B69" s="3">
        <v>2006</v>
      </c>
      <c r="C69" s="2">
        <v>0.3</v>
      </c>
      <c r="D69" t="str">
        <f>IF(C69&gt;=0.5,"El Niño",IF(C69&lt;=-0.5,"La Niña","Neutro"))</f>
        <v>Neutro</v>
      </c>
      <c r="E69" s="2">
        <v>156.42799760226509</v>
      </c>
      <c r="F69" s="2">
        <v>84.061749531382731</v>
      </c>
      <c r="G69" s="2">
        <v>87.452582105287902</v>
      </c>
      <c r="H69" s="3">
        <v>0.51805630000000003</v>
      </c>
      <c r="I69" s="3">
        <v>0.17038329999999999</v>
      </c>
      <c r="J69" s="3">
        <v>0.19807559999999999</v>
      </c>
      <c r="K69" s="3">
        <v>97.340381706765626</v>
      </c>
      <c r="L69" s="3">
        <v>40.561001073472319</v>
      </c>
      <c r="M69" s="3">
        <v>41.925661099009247</v>
      </c>
      <c r="N69" s="3">
        <v>39.79</v>
      </c>
      <c r="O69" s="3">
        <v>1.21</v>
      </c>
      <c r="P69" s="3">
        <v>11.57</v>
      </c>
      <c r="Q69" s="3">
        <v>27.6</v>
      </c>
      <c r="R69" s="3">
        <v>33.369999999999997</v>
      </c>
      <c r="S69" s="3">
        <v>32.454999999999998</v>
      </c>
      <c r="T69" s="3">
        <v>2925</v>
      </c>
      <c r="U69" s="3">
        <v>166675</v>
      </c>
      <c r="V69" s="3">
        <v>10025</v>
      </c>
    </row>
    <row r="70" spans="1:22" x14ac:dyDescent="0.25">
      <c r="A70" s="3">
        <v>9</v>
      </c>
      <c r="B70" s="3">
        <v>2006</v>
      </c>
      <c r="C70" s="2">
        <v>0.54</v>
      </c>
      <c r="D70" t="str">
        <f>IF(C70&gt;=0.5,"El Niño",IF(C70&lt;=-0.5,"La Niña","Neutro"))</f>
        <v>El Niño</v>
      </c>
      <c r="E70" s="2">
        <v>154.06149823735649</v>
      </c>
      <c r="F70" s="2">
        <v>66.468370842968</v>
      </c>
      <c r="G70" s="2">
        <v>70.981279819547098</v>
      </c>
      <c r="H70" s="3">
        <v>0.51326939999999999</v>
      </c>
      <c r="I70" s="3">
        <v>0.18413560000000001</v>
      </c>
      <c r="J70" s="3">
        <v>0.16437080000000001</v>
      </c>
      <c r="K70" s="3">
        <v>95.648272340292834</v>
      </c>
      <c r="L70" s="3">
        <v>45.099605720881051</v>
      </c>
      <c r="M70" s="3">
        <v>37.919304850954198</v>
      </c>
      <c r="N70" s="3">
        <v>58.14</v>
      </c>
      <c r="O70" s="3">
        <v>25.64</v>
      </c>
      <c r="P70" s="3">
        <v>18.09</v>
      </c>
      <c r="Q70" s="3">
        <v>30.52</v>
      </c>
      <c r="R70" s="3">
        <v>36.592499999999987</v>
      </c>
      <c r="S70" s="3">
        <v>35.972499999999997</v>
      </c>
      <c r="T70" s="3">
        <v>800</v>
      </c>
      <c r="U70" s="3">
        <v>209975</v>
      </c>
      <c r="V70" s="3">
        <v>15175</v>
      </c>
    </row>
    <row r="71" spans="1:22" x14ac:dyDescent="0.25">
      <c r="A71" s="3">
        <v>10</v>
      </c>
      <c r="B71" s="3">
        <v>2006</v>
      </c>
      <c r="C71" s="2">
        <v>0.77</v>
      </c>
      <c r="D71" t="str">
        <f>IF(C71&gt;=0.5,"El Niño",IF(C71&lt;=-0.5,"La Niña","Neutro"))</f>
        <v>El Niño</v>
      </c>
      <c r="E71" s="2">
        <v>139.86480341079721</v>
      </c>
      <c r="F71" s="2">
        <v>88.425750443395671</v>
      </c>
      <c r="G71" s="2">
        <v>73.346096687215962</v>
      </c>
      <c r="H71" s="3">
        <v>0.57856810000000003</v>
      </c>
      <c r="I71" s="3">
        <v>0.35951300000000003</v>
      </c>
      <c r="J71" s="3">
        <v>0.2413477</v>
      </c>
      <c r="K71" s="3">
        <v>105.08695796235951</v>
      </c>
      <c r="L71" s="3">
        <v>73.098157542151952</v>
      </c>
      <c r="M71" s="3">
        <v>54.551253084766863</v>
      </c>
      <c r="N71" s="3">
        <v>138.22</v>
      </c>
      <c r="O71" s="3">
        <v>182.22</v>
      </c>
      <c r="P71" s="3">
        <v>101.96</v>
      </c>
      <c r="Q71" s="3">
        <v>30.7925</v>
      </c>
      <c r="R71" s="3">
        <v>34.685000000000002</v>
      </c>
      <c r="S71" s="3">
        <v>37.14</v>
      </c>
      <c r="T71" s="3">
        <v>125</v>
      </c>
      <c r="U71" s="3">
        <v>32550</v>
      </c>
      <c r="V71" s="3">
        <v>20275</v>
      </c>
    </row>
    <row r="72" spans="1:22" x14ac:dyDescent="0.25">
      <c r="A72" s="3">
        <v>11</v>
      </c>
      <c r="B72" s="3">
        <v>2006</v>
      </c>
      <c r="C72" s="2">
        <v>0.94</v>
      </c>
      <c r="D72" t="str">
        <f>IF(C72&gt;=0.5,"El Niño",IF(C72&lt;=-0.5,"La Niña","Neutro"))</f>
        <v>El Niño</v>
      </c>
      <c r="E72" s="2">
        <v>155.2217694666582</v>
      </c>
      <c r="F72" s="2">
        <v>126.5548158117218</v>
      </c>
      <c r="G72" s="2">
        <v>112.44565339129819</v>
      </c>
      <c r="H72" s="3">
        <v>0.5837833</v>
      </c>
      <c r="I72" s="3">
        <v>0.4342414</v>
      </c>
      <c r="J72" s="3">
        <v>0.40818779999999999</v>
      </c>
      <c r="K72" s="3">
        <v>130.75501457907791</v>
      </c>
      <c r="L72" s="3">
        <v>104.47871598989479</v>
      </c>
      <c r="M72" s="3">
        <v>100.7180169080203</v>
      </c>
      <c r="N72" s="3">
        <v>185.45</v>
      </c>
      <c r="O72" s="3">
        <v>166.49</v>
      </c>
      <c r="P72" s="3">
        <v>120.7</v>
      </c>
      <c r="Q72" s="3">
        <v>28.635000000000002</v>
      </c>
      <c r="R72" s="3">
        <v>33.445</v>
      </c>
      <c r="S72" s="3">
        <v>32.4</v>
      </c>
      <c r="T72" s="3">
        <v>250</v>
      </c>
      <c r="U72" s="3">
        <v>7025</v>
      </c>
      <c r="V72" s="3">
        <v>18525</v>
      </c>
    </row>
    <row r="73" spans="1:22" x14ac:dyDescent="0.25">
      <c r="A73" s="3">
        <v>12</v>
      </c>
      <c r="B73" s="3">
        <v>2006</v>
      </c>
      <c r="C73" s="2">
        <v>0.94</v>
      </c>
      <c r="D73" t="str">
        <f>IF(C73&gt;=0.5,"El Niño",IF(C73&lt;=-0.5,"La Niña","Neutro"))</f>
        <v>El Niño</v>
      </c>
      <c r="E73" s="2">
        <v>137.3948460264869</v>
      </c>
      <c r="F73" s="2">
        <v>108.3522490602433</v>
      </c>
      <c r="G73" s="2">
        <v>91.476508631732258</v>
      </c>
      <c r="H73" s="3">
        <v>0.56481400000000004</v>
      </c>
      <c r="I73" s="3">
        <v>0.41689209999999999</v>
      </c>
      <c r="J73" s="3">
        <v>0.35714040000000002</v>
      </c>
      <c r="K73" s="3">
        <v>121.50583533438321</v>
      </c>
      <c r="L73" s="3">
        <v>92.786055554210364</v>
      </c>
      <c r="M73" s="3">
        <v>83.502967527627206</v>
      </c>
      <c r="N73" s="3">
        <v>109.93</v>
      </c>
      <c r="O73" s="3">
        <v>177.39</v>
      </c>
      <c r="P73" s="3">
        <v>59.81</v>
      </c>
      <c r="Q73" s="3">
        <v>30.265000000000001</v>
      </c>
      <c r="R73" s="3">
        <v>31.855</v>
      </c>
      <c r="S73" s="3">
        <v>33.297499999999999</v>
      </c>
      <c r="T73" s="3">
        <v>1775</v>
      </c>
      <c r="U73" s="3">
        <v>36225</v>
      </c>
      <c r="V73" s="3">
        <v>8700</v>
      </c>
    </row>
    <row r="74" spans="1:22" x14ac:dyDescent="0.25">
      <c r="A74" s="3">
        <v>1</v>
      </c>
      <c r="B74" s="3">
        <v>2007</v>
      </c>
      <c r="C74" s="2">
        <v>0.66</v>
      </c>
      <c r="D74" t="str">
        <f>IF(C74&gt;=0.5,"El Niño",IF(C74&lt;=-0.5,"La Niña","Neutro"))</f>
        <v>El Niño</v>
      </c>
      <c r="E74" s="2">
        <v>137.6503983053951</v>
      </c>
      <c r="F74" s="2">
        <v>101.04444913005671</v>
      </c>
      <c r="G74" s="2">
        <v>69.733432493217038</v>
      </c>
      <c r="H74" s="3">
        <v>0.50983440000000002</v>
      </c>
      <c r="I74" s="3">
        <v>0.4212302</v>
      </c>
      <c r="J74" s="3">
        <v>0.2707582</v>
      </c>
      <c r="K74" s="3">
        <v>111.8880176742083</v>
      </c>
      <c r="L74" s="3">
        <v>95.401470172804821</v>
      </c>
      <c r="M74" s="3">
        <v>64.701765041480016</v>
      </c>
      <c r="N74" s="3">
        <v>42.45</v>
      </c>
      <c r="O74" s="3">
        <v>81.709999999999994</v>
      </c>
      <c r="P74" s="3">
        <v>27.99</v>
      </c>
      <c r="Q74" s="3">
        <v>30.65</v>
      </c>
      <c r="R74" s="3">
        <v>31.88</v>
      </c>
      <c r="S74" s="3">
        <v>33.6</v>
      </c>
      <c r="T74" s="3">
        <v>2400</v>
      </c>
      <c r="U74" s="3">
        <v>15425</v>
      </c>
      <c r="V74" s="3">
        <v>9925</v>
      </c>
    </row>
    <row r="75" spans="1:22" x14ac:dyDescent="0.25">
      <c r="A75" s="3">
        <v>2</v>
      </c>
      <c r="B75" s="3">
        <v>2007</v>
      </c>
      <c r="C75" s="2">
        <v>0.22</v>
      </c>
      <c r="D75" t="str">
        <f>IF(C75&gt;=0.5,"El Niño",IF(C75&lt;=-0.5,"La Niña","Neutro"))</f>
        <v>Neutro</v>
      </c>
      <c r="E75" s="2">
        <v>123.7807201327626</v>
      </c>
      <c r="F75" s="2">
        <v>118.76593571115821</v>
      </c>
      <c r="G75" s="2">
        <v>85.967080988706613</v>
      </c>
      <c r="H75" s="3">
        <v>0.52393120000000004</v>
      </c>
      <c r="I75" s="3">
        <v>0.5480469</v>
      </c>
      <c r="J75" s="3">
        <v>0.36462919999999999</v>
      </c>
      <c r="K75" s="3">
        <v>108.8385963544509</v>
      </c>
      <c r="L75" s="3">
        <v>111.3887557810117</v>
      </c>
      <c r="M75" s="3">
        <v>80.350913640346732</v>
      </c>
      <c r="N75" s="3">
        <v>271.97000000000003</v>
      </c>
      <c r="O75" s="3">
        <v>284.27999999999997</v>
      </c>
      <c r="P75" s="3">
        <v>286.11</v>
      </c>
      <c r="Q75" s="3">
        <v>30.3125</v>
      </c>
      <c r="R75" s="3">
        <v>30.15</v>
      </c>
      <c r="S75" s="3">
        <v>30.85</v>
      </c>
      <c r="T75" s="3">
        <v>75</v>
      </c>
      <c r="U75" s="3">
        <v>3550</v>
      </c>
      <c r="V75" s="3">
        <v>275</v>
      </c>
    </row>
    <row r="76" spans="1:22" x14ac:dyDescent="0.25">
      <c r="A76" s="3">
        <v>3</v>
      </c>
      <c r="B76" s="3">
        <v>2007</v>
      </c>
      <c r="C76" s="2">
        <v>-0.12</v>
      </c>
      <c r="D76" t="str">
        <f>IF(C76&gt;=0.5,"El Niño",IF(C76&lt;=-0.5,"La Niña","Neutro"))</f>
        <v>Neutro</v>
      </c>
      <c r="E76" s="2">
        <v>178.0709292800407</v>
      </c>
      <c r="F76" s="2">
        <v>156.52633457558099</v>
      </c>
      <c r="G76" s="2">
        <v>146.3101838830334</v>
      </c>
      <c r="H76" s="3">
        <v>0.54649539999999996</v>
      </c>
      <c r="I76" s="3">
        <v>0.48826849999999999</v>
      </c>
      <c r="J76" s="3">
        <v>0.4579666</v>
      </c>
      <c r="K76" s="3">
        <v>135.1146944630689</v>
      </c>
      <c r="L76" s="3">
        <v>122.7179191182999</v>
      </c>
      <c r="M76" s="3">
        <v>114.5053399969967</v>
      </c>
      <c r="N76" s="3">
        <v>58.61</v>
      </c>
      <c r="O76" s="3">
        <v>44.31</v>
      </c>
      <c r="P76" s="3">
        <v>34.18</v>
      </c>
      <c r="Q76" s="3">
        <v>27.795000000000002</v>
      </c>
      <c r="R76" s="3">
        <v>29.86320000000001</v>
      </c>
      <c r="S76" s="3">
        <v>29.094999999999999</v>
      </c>
      <c r="T76" s="3">
        <v>50</v>
      </c>
      <c r="U76" s="3">
        <v>15350</v>
      </c>
      <c r="V76" s="3">
        <v>1425</v>
      </c>
    </row>
    <row r="77" spans="1:22" x14ac:dyDescent="0.25">
      <c r="A77" s="3">
        <v>4</v>
      </c>
      <c r="B77" s="3">
        <v>2007</v>
      </c>
      <c r="C77" s="2">
        <v>-0.32</v>
      </c>
      <c r="D77" t="str">
        <f>IF(C77&gt;=0.5,"El Niño",IF(C77&lt;=-0.5,"La Niña","Neutro"))</f>
        <v>Neutro</v>
      </c>
      <c r="E77" s="2">
        <v>127.5114908610099</v>
      </c>
      <c r="F77" s="2">
        <v>107.0564445215665</v>
      </c>
      <c r="G77" s="2">
        <v>89.249444191604852</v>
      </c>
      <c r="H77" s="3">
        <v>0.58244969999999996</v>
      </c>
      <c r="I77" s="3">
        <v>0.35642030000000002</v>
      </c>
      <c r="J77" s="3">
        <v>0.37015749999999997</v>
      </c>
      <c r="K77" s="3">
        <v>120.36733662856879</v>
      </c>
      <c r="L77" s="3">
        <v>81.001761947424072</v>
      </c>
      <c r="M77" s="3">
        <v>80.205775844964279</v>
      </c>
      <c r="N77" s="3">
        <v>104.8</v>
      </c>
      <c r="O77" s="3">
        <v>34.58</v>
      </c>
      <c r="P77" s="3">
        <v>49.64</v>
      </c>
      <c r="Q77" s="3">
        <v>28.337499999999999</v>
      </c>
      <c r="R77" s="3">
        <v>30.784500000000008</v>
      </c>
      <c r="S77" s="3">
        <v>30.655000000000001</v>
      </c>
      <c r="T77" s="3">
        <v>0</v>
      </c>
      <c r="U77" s="3">
        <v>19350</v>
      </c>
      <c r="V77" s="3">
        <v>175</v>
      </c>
    </row>
    <row r="78" spans="1:22" x14ac:dyDescent="0.25">
      <c r="A78" s="3">
        <v>5</v>
      </c>
      <c r="B78" s="3">
        <v>2007</v>
      </c>
      <c r="C78" s="2">
        <v>-0.38</v>
      </c>
      <c r="D78" t="str">
        <f>IF(C78&gt;=0.5,"El Niño",IF(C78&lt;=-0.5,"La Niña","Neutro"))</f>
        <v>Neutro</v>
      </c>
      <c r="E78" s="2">
        <v>136.31359351298431</v>
      </c>
      <c r="F78" s="2">
        <v>96.67671239510338</v>
      </c>
      <c r="G78" s="2">
        <v>95.418210056451883</v>
      </c>
      <c r="H78" s="3">
        <v>0.67387140000000001</v>
      </c>
      <c r="I78" s="3">
        <v>0.29378559999999998</v>
      </c>
      <c r="J78" s="3">
        <v>0.33396749999999997</v>
      </c>
      <c r="K78" s="3">
        <v>114.57520855097999</v>
      </c>
      <c r="L78" s="3">
        <v>57.437728112867951</v>
      </c>
      <c r="M78" s="3">
        <v>61.96924814265563</v>
      </c>
      <c r="N78" s="3">
        <v>57.65</v>
      </c>
      <c r="O78" s="3">
        <v>10.98</v>
      </c>
      <c r="P78" s="3">
        <v>15.49</v>
      </c>
      <c r="Q78" s="3">
        <v>26.612500000000001</v>
      </c>
      <c r="R78" s="3">
        <v>31.047100000000011</v>
      </c>
      <c r="S78" s="3">
        <v>31.004999999999999</v>
      </c>
      <c r="T78" s="3">
        <v>2200</v>
      </c>
      <c r="U78" s="3">
        <v>32675</v>
      </c>
      <c r="V78" s="3">
        <v>1725</v>
      </c>
    </row>
    <row r="79" spans="1:22" x14ac:dyDescent="0.25">
      <c r="A79" s="3">
        <v>6</v>
      </c>
      <c r="B79" s="3">
        <v>2007</v>
      </c>
      <c r="C79" s="2">
        <v>-0.47</v>
      </c>
      <c r="D79" t="str">
        <f>IF(C79&gt;=0.5,"El Niño",IF(C79&lt;=-0.5,"La Niña","Neutro"))</f>
        <v>Neutro</v>
      </c>
      <c r="E79" s="2">
        <v>126.4576235348993</v>
      </c>
      <c r="F79" s="2">
        <v>81.268174985421908</v>
      </c>
      <c r="G79" s="2">
        <v>88.367609641125185</v>
      </c>
      <c r="H79" s="3">
        <v>0.56695839999999997</v>
      </c>
      <c r="I79" s="3">
        <v>0.2009041</v>
      </c>
      <c r="J79" s="3">
        <v>0.2584631</v>
      </c>
      <c r="K79" s="3">
        <v>92.440811672617841</v>
      </c>
      <c r="L79" s="3">
        <v>38.606004786233733</v>
      </c>
      <c r="M79" s="3">
        <v>44.035816004250528</v>
      </c>
      <c r="N79" s="3">
        <v>29.68</v>
      </c>
      <c r="O79" s="3">
        <v>1.23</v>
      </c>
      <c r="P79" s="3">
        <v>16.28</v>
      </c>
      <c r="Q79" s="3">
        <v>25.35</v>
      </c>
      <c r="R79" s="3">
        <v>30.05</v>
      </c>
      <c r="S79" s="3">
        <v>29.66</v>
      </c>
      <c r="T79" s="3">
        <v>2200</v>
      </c>
      <c r="U79" s="3">
        <v>61300</v>
      </c>
      <c r="V79" s="3">
        <v>1725</v>
      </c>
    </row>
    <row r="80" spans="1:22" x14ac:dyDescent="0.25">
      <c r="A80" s="3">
        <v>7</v>
      </c>
      <c r="B80" s="3">
        <v>2007</v>
      </c>
      <c r="C80" s="2">
        <v>-0.56000000000000005</v>
      </c>
      <c r="D80" t="str">
        <f>IF(C80&gt;=0.5,"El Niño",IF(C80&lt;=-0.5,"La Niña","Neutro"))</f>
        <v>La Niña</v>
      </c>
      <c r="E80" s="2">
        <v>127.56933682329741</v>
      </c>
      <c r="F80" s="2">
        <v>64.713190491659716</v>
      </c>
      <c r="G80" s="2">
        <v>78.277781950468224</v>
      </c>
      <c r="H80" s="3">
        <v>0.53264610000000001</v>
      </c>
      <c r="I80" s="3">
        <v>0.14279610000000001</v>
      </c>
      <c r="J80" s="3">
        <v>0.20911879999999999</v>
      </c>
      <c r="K80" s="3">
        <v>83.673153446743484</v>
      </c>
      <c r="L80" s="3">
        <v>30.09709557132134</v>
      </c>
      <c r="M80" s="3">
        <v>36.509695581875427</v>
      </c>
      <c r="N80" s="3">
        <v>40.65</v>
      </c>
      <c r="O80" s="3">
        <v>0.6</v>
      </c>
      <c r="P80" s="3">
        <v>16.170000000000002</v>
      </c>
      <c r="Q80" s="3">
        <v>25.807500000000001</v>
      </c>
      <c r="R80" s="3">
        <v>31.5625</v>
      </c>
      <c r="S80" s="3">
        <v>30.54</v>
      </c>
      <c r="T80" s="3">
        <v>2300</v>
      </c>
      <c r="U80" s="3">
        <v>220450</v>
      </c>
      <c r="V80" s="3">
        <v>4850</v>
      </c>
    </row>
    <row r="81" spans="1:22" x14ac:dyDescent="0.25">
      <c r="A81" s="3">
        <v>8</v>
      </c>
      <c r="B81" s="3">
        <v>2007</v>
      </c>
      <c r="C81" s="2">
        <v>-0.81</v>
      </c>
      <c r="D81" t="str">
        <f>IF(C81&gt;=0.5,"El Niño",IF(C81&lt;=-0.5,"La Niña","Neutro"))</f>
        <v>La Niña</v>
      </c>
      <c r="E81" s="2">
        <v>138.16444746839471</v>
      </c>
      <c r="F81" s="2">
        <v>59.943485866825931</v>
      </c>
      <c r="G81" s="2">
        <v>77.099161389686756</v>
      </c>
      <c r="H81" s="3">
        <v>0.51317429999999997</v>
      </c>
      <c r="I81" s="3">
        <v>0.1136895</v>
      </c>
      <c r="J81" s="3">
        <v>0.1726596</v>
      </c>
      <c r="K81" s="3">
        <v>83.361211271888109</v>
      </c>
      <c r="L81" s="3">
        <v>26.124957424312129</v>
      </c>
      <c r="M81" s="3">
        <v>33.008704234304922</v>
      </c>
      <c r="N81" s="3">
        <v>40.659999999999997</v>
      </c>
      <c r="O81" s="3">
        <v>1.32</v>
      </c>
      <c r="P81" s="3">
        <v>14.5</v>
      </c>
      <c r="Q81" s="3">
        <v>26.84</v>
      </c>
      <c r="R81" s="3">
        <v>33.945</v>
      </c>
      <c r="S81" s="3">
        <v>32.435000000000002</v>
      </c>
      <c r="T81" s="3">
        <v>1025</v>
      </c>
      <c r="U81" s="3">
        <v>683775</v>
      </c>
      <c r="V81" s="3">
        <v>31950</v>
      </c>
    </row>
    <row r="82" spans="1:22" x14ac:dyDescent="0.25">
      <c r="A82" s="3">
        <v>9</v>
      </c>
      <c r="B82" s="3">
        <v>2007</v>
      </c>
      <c r="C82" s="2">
        <v>-1.07</v>
      </c>
      <c r="D82" t="str">
        <f>IF(C82&gt;=0.5,"El Niño",IF(C82&lt;=-0.5,"La Niña","Neutro"))</f>
        <v>La Niña</v>
      </c>
      <c r="E82" s="2">
        <v>145.5809122992323</v>
      </c>
      <c r="F82" s="2">
        <v>31.4345933370594</v>
      </c>
      <c r="G82" s="2">
        <v>61.124748769541903</v>
      </c>
      <c r="H82" s="3">
        <v>0.4041225</v>
      </c>
      <c r="I82" s="3">
        <v>8.0314490000000002E-2</v>
      </c>
      <c r="J82" s="3">
        <v>0.12054330000000001</v>
      </c>
      <c r="K82" s="3">
        <v>83.369819359767988</v>
      </c>
      <c r="L82" s="3">
        <v>21.006769534371291</v>
      </c>
      <c r="M82" s="3">
        <v>28.05128700893226</v>
      </c>
      <c r="N82" s="3">
        <v>50.09</v>
      </c>
      <c r="O82" s="3">
        <v>2.36</v>
      </c>
      <c r="P82" s="3">
        <v>15.51</v>
      </c>
      <c r="Q82" s="3">
        <v>29.545000000000002</v>
      </c>
      <c r="R82" s="3">
        <v>38.227500000000013</v>
      </c>
      <c r="S82" s="3">
        <v>35.792499999999997</v>
      </c>
      <c r="T82" s="3">
        <v>5225</v>
      </c>
      <c r="U82" s="3">
        <v>1139350</v>
      </c>
      <c r="V82" s="3">
        <v>170300</v>
      </c>
    </row>
    <row r="83" spans="1:22" x14ac:dyDescent="0.25">
      <c r="A83" s="3">
        <v>10</v>
      </c>
      <c r="B83" s="3">
        <v>2007</v>
      </c>
      <c r="C83" s="2">
        <v>-1.34</v>
      </c>
      <c r="D83" t="str">
        <f>IF(C83&gt;=0.5,"El Niño",IF(C83&lt;=-0.5,"La Niña","Neutro"))</f>
        <v>La Niña</v>
      </c>
      <c r="E83" s="2">
        <v>131.4556035704029</v>
      </c>
      <c r="F83" s="2">
        <v>3.2344607723458298</v>
      </c>
      <c r="G83" s="2">
        <v>34.877307429163892</v>
      </c>
      <c r="H83" s="3">
        <v>0.40929130000000002</v>
      </c>
      <c r="I83" s="3">
        <v>6.1476959999999997E-2</v>
      </c>
      <c r="J83" s="3">
        <v>9.0542250000000005E-2</v>
      </c>
      <c r="K83" s="3">
        <v>91.397410654421279</v>
      </c>
      <c r="L83" s="3">
        <v>15.46639648256213</v>
      </c>
      <c r="M83" s="3">
        <v>21.68761484958813</v>
      </c>
      <c r="N83" s="3">
        <v>44.52</v>
      </c>
      <c r="O83" s="3">
        <v>32.799999999999997</v>
      </c>
      <c r="P83" s="3">
        <v>11.3</v>
      </c>
      <c r="Q83" s="3">
        <v>33.9925</v>
      </c>
      <c r="R83" s="3">
        <v>41.4375</v>
      </c>
      <c r="S83" s="3">
        <v>39.564999999999998</v>
      </c>
      <c r="T83" s="3">
        <v>60300</v>
      </c>
      <c r="U83" s="3">
        <v>597500</v>
      </c>
      <c r="V83" s="3">
        <v>177825</v>
      </c>
    </row>
    <row r="84" spans="1:22" x14ac:dyDescent="0.25">
      <c r="A84" s="3">
        <v>11</v>
      </c>
      <c r="B84" s="3">
        <v>2007</v>
      </c>
      <c r="C84" s="2">
        <v>-1.5</v>
      </c>
      <c r="D84" t="str">
        <f>IF(C84&gt;=0.5,"El Niño",IF(C84&lt;=-0.5,"La Niña","Neutro"))</f>
        <v>La Niña</v>
      </c>
      <c r="E84" s="2">
        <v>117.67989537817471</v>
      </c>
      <c r="F84" s="2">
        <v>42.70772406362299</v>
      </c>
      <c r="G84" s="2">
        <v>51.2242592386079</v>
      </c>
      <c r="H84" s="3">
        <v>0.36930439999999998</v>
      </c>
      <c r="I84" s="3">
        <v>0.1753798</v>
      </c>
      <c r="J84" s="3">
        <v>0.15476760000000001</v>
      </c>
      <c r="K84" s="3">
        <v>92.757297919947604</v>
      </c>
      <c r="L84" s="3">
        <v>44.807072205138141</v>
      </c>
      <c r="M84" s="3">
        <v>41.042474219716347</v>
      </c>
      <c r="N84" s="3">
        <v>107.35</v>
      </c>
      <c r="O84" s="3">
        <v>106.27</v>
      </c>
      <c r="P84" s="3">
        <v>82.88</v>
      </c>
      <c r="Q84" s="3">
        <v>33.729999999999997</v>
      </c>
      <c r="R84" s="3">
        <v>40.080000000000013</v>
      </c>
      <c r="S84" s="3">
        <v>38.612499999999997</v>
      </c>
      <c r="T84" s="3">
        <v>32625</v>
      </c>
      <c r="U84" s="3">
        <v>186575</v>
      </c>
      <c r="V84" s="3">
        <v>161825</v>
      </c>
    </row>
    <row r="85" spans="1:22" x14ac:dyDescent="0.25">
      <c r="A85" s="3">
        <v>12</v>
      </c>
      <c r="B85" s="3">
        <v>2007</v>
      </c>
      <c r="C85" s="2">
        <v>-1.6</v>
      </c>
      <c r="D85" t="str">
        <f>IF(C85&gt;=0.5,"El Niño",IF(C85&lt;=-0.5,"La Niña","Neutro"))</f>
        <v>La Niña</v>
      </c>
      <c r="E85" s="2">
        <v>144.20706544260929</v>
      </c>
      <c r="F85" s="2">
        <v>100.37675093370351</v>
      </c>
      <c r="G85" s="2">
        <v>98.964370575097874</v>
      </c>
      <c r="H85" s="3">
        <v>0.4775044</v>
      </c>
      <c r="I85" s="3">
        <v>0.32934609999999997</v>
      </c>
      <c r="J85" s="3">
        <v>0.30914350000000002</v>
      </c>
      <c r="K85" s="3">
        <v>105.1970639140536</v>
      </c>
      <c r="L85" s="3">
        <v>74.559437879851814</v>
      </c>
      <c r="M85" s="3">
        <v>72.790589374765929</v>
      </c>
      <c r="N85" s="3">
        <v>108.86</v>
      </c>
      <c r="O85" s="3">
        <v>148.66</v>
      </c>
      <c r="P85" s="3">
        <v>89.95</v>
      </c>
      <c r="Q85" s="3">
        <v>31.33</v>
      </c>
      <c r="R85" s="3">
        <v>35.442500000000003</v>
      </c>
      <c r="S85" s="3">
        <v>33.229999999999997</v>
      </c>
      <c r="T85" s="3">
        <v>1750</v>
      </c>
      <c r="U85" s="3">
        <v>22375</v>
      </c>
      <c r="V85" s="3">
        <v>7550</v>
      </c>
    </row>
    <row r="86" spans="1:22" x14ac:dyDescent="0.25">
      <c r="A86" s="3">
        <v>1</v>
      </c>
      <c r="B86" s="3">
        <v>2008</v>
      </c>
      <c r="C86" s="2">
        <v>-1.64</v>
      </c>
      <c r="D86" t="str">
        <f>IF(C86&gt;=0.5,"El Niño",IF(C86&lt;=-0.5,"La Niña","Neutro"))</f>
        <v>La Niña</v>
      </c>
      <c r="E86" s="2">
        <v>138.73911021334911</v>
      </c>
      <c r="F86" s="2">
        <v>100.22574862744069</v>
      </c>
      <c r="G86" s="2">
        <v>84.467115830336937</v>
      </c>
      <c r="H86" s="3">
        <v>0.47548879999999999</v>
      </c>
      <c r="I86" s="3">
        <v>0.36157539999999999</v>
      </c>
      <c r="J86" s="3">
        <v>0.29974200000000001</v>
      </c>
      <c r="K86" s="3">
        <v>103.3363660284097</v>
      </c>
      <c r="L86" s="3">
        <v>74.880712406272949</v>
      </c>
      <c r="M86" s="3">
        <v>67.750060338438033</v>
      </c>
      <c r="N86" s="3">
        <v>78.150000000000006</v>
      </c>
      <c r="O86" s="3">
        <v>158.29</v>
      </c>
      <c r="P86" s="3">
        <v>62.89</v>
      </c>
      <c r="Q86" s="3">
        <v>32.523333333333333</v>
      </c>
      <c r="R86" s="3">
        <v>34.049999999999997</v>
      </c>
      <c r="S86" s="3">
        <v>34.353333333333332</v>
      </c>
      <c r="T86" s="3">
        <v>3900</v>
      </c>
      <c r="U86" s="3">
        <v>5450</v>
      </c>
      <c r="V86" s="3">
        <v>11900</v>
      </c>
    </row>
    <row r="87" spans="1:22" x14ac:dyDescent="0.25">
      <c r="A87" s="3">
        <v>2</v>
      </c>
      <c r="B87" s="3">
        <v>2008</v>
      </c>
      <c r="C87" s="2">
        <v>-1.52</v>
      </c>
      <c r="D87" t="str">
        <f>IF(C87&gt;=0.5,"El Niño",IF(C87&lt;=-0.5,"La Niña","Neutro"))</f>
        <v>La Niña</v>
      </c>
      <c r="E87" s="2">
        <v>141.40978853978541</v>
      </c>
      <c r="F87" s="2">
        <v>119.51140702209609</v>
      </c>
      <c r="G87" s="2">
        <v>97.439396299433071</v>
      </c>
      <c r="H87" s="3">
        <v>0.47282629999999998</v>
      </c>
      <c r="I87" s="3">
        <v>0.51100860000000004</v>
      </c>
      <c r="J87" s="3">
        <v>0.3203742</v>
      </c>
      <c r="K87" s="3">
        <v>115.5730462476416</v>
      </c>
      <c r="L87" s="3">
        <v>107.38402241377921</v>
      </c>
      <c r="M87" s="3">
        <v>80.143099857853372</v>
      </c>
      <c r="N87" s="3">
        <v>116.73</v>
      </c>
      <c r="O87" s="3">
        <v>151.72999999999999</v>
      </c>
      <c r="P87" s="3">
        <v>113.05</v>
      </c>
      <c r="Q87" s="3">
        <v>31.4725</v>
      </c>
      <c r="R87" s="3">
        <v>31.475000000000001</v>
      </c>
      <c r="S87" s="3">
        <v>33.272500000000001</v>
      </c>
      <c r="T87" s="3">
        <v>525</v>
      </c>
      <c r="U87" s="3">
        <v>4125</v>
      </c>
      <c r="V87" s="3">
        <v>1050</v>
      </c>
    </row>
    <row r="88" spans="1:22" x14ac:dyDescent="0.25">
      <c r="A88" s="3">
        <v>3</v>
      </c>
      <c r="B88" s="3">
        <v>2008</v>
      </c>
      <c r="C88" s="2">
        <v>-1.29</v>
      </c>
      <c r="D88" t="str">
        <f>IF(C88&gt;=0.5,"El Niño",IF(C88&lt;=-0.5,"La Niña","Neutro"))</f>
        <v>La Niña</v>
      </c>
      <c r="E88" s="2">
        <v>126.635345138304</v>
      </c>
      <c r="F88" s="2">
        <v>128.88157532076829</v>
      </c>
      <c r="G88" s="2">
        <v>123.25327580646621</v>
      </c>
      <c r="H88" s="3">
        <v>0.53494940000000002</v>
      </c>
      <c r="I88" s="3">
        <v>0.60982720000000001</v>
      </c>
      <c r="J88" s="3">
        <v>0.46597749999999999</v>
      </c>
      <c r="K88" s="3">
        <v>121.6409379726506</v>
      </c>
      <c r="L88" s="3">
        <v>116.164605680525</v>
      </c>
      <c r="M88" s="3">
        <v>102.85695767624949</v>
      </c>
      <c r="N88" s="3">
        <v>131.96</v>
      </c>
      <c r="O88" s="3">
        <v>213.12</v>
      </c>
      <c r="P88" s="3">
        <v>138.81</v>
      </c>
      <c r="Q88" s="3">
        <v>30.4575</v>
      </c>
      <c r="R88" s="3">
        <v>29.835000000000001</v>
      </c>
      <c r="S88" s="3">
        <v>31.252500000000001</v>
      </c>
      <c r="T88" s="3">
        <v>175</v>
      </c>
      <c r="U88" s="3">
        <v>7150</v>
      </c>
      <c r="V88" s="3">
        <v>975</v>
      </c>
    </row>
    <row r="89" spans="1:22" x14ac:dyDescent="0.25">
      <c r="A89" s="3">
        <v>4</v>
      </c>
      <c r="B89" s="3">
        <v>2008</v>
      </c>
      <c r="C89" s="2">
        <v>-1.01</v>
      </c>
      <c r="D89" t="str">
        <f>IF(C89&gt;=0.5,"El Niño",IF(C89&lt;=-0.5,"La Niña","Neutro"))</f>
        <v>La Niña</v>
      </c>
      <c r="E89" s="2">
        <v>130.37456579436841</v>
      </c>
      <c r="F89" s="2">
        <v>132.51478772495139</v>
      </c>
      <c r="G89" s="2">
        <v>139.51679330413791</v>
      </c>
      <c r="H89" s="3">
        <v>0.56455880000000003</v>
      </c>
      <c r="I89" s="3">
        <v>0.54624479999999997</v>
      </c>
      <c r="J89" s="3">
        <v>0.5462726</v>
      </c>
      <c r="K89" s="3">
        <v>121.4580526016247</v>
      </c>
      <c r="L89" s="3">
        <v>110.9204575171312</v>
      </c>
      <c r="M89" s="3">
        <v>115.40637904841969</v>
      </c>
      <c r="N89" s="3">
        <v>39.92</v>
      </c>
      <c r="O89" s="3">
        <v>141.94999999999999</v>
      </c>
      <c r="P89" s="3">
        <v>91</v>
      </c>
      <c r="Q89" s="3">
        <v>29.41</v>
      </c>
      <c r="R89" s="3">
        <v>28.857500000000009</v>
      </c>
      <c r="S89" s="3">
        <v>28.53</v>
      </c>
      <c r="T89" s="3">
        <v>100</v>
      </c>
      <c r="U89" s="3">
        <v>21675</v>
      </c>
      <c r="V89" s="3">
        <v>1475</v>
      </c>
    </row>
    <row r="90" spans="1:22" x14ac:dyDescent="0.25">
      <c r="A90" s="3">
        <v>5</v>
      </c>
      <c r="B90" s="3">
        <v>2008</v>
      </c>
      <c r="C90" s="2">
        <v>-0.84</v>
      </c>
      <c r="D90" t="str">
        <f>IF(C90&gt;=0.5,"El Niño",IF(C90&lt;=-0.5,"La Niña","Neutro"))</f>
        <v>La Niña</v>
      </c>
      <c r="E90" s="2">
        <v>120.4908980168497</v>
      </c>
      <c r="F90" s="2">
        <v>125.8174640390471</v>
      </c>
      <c r="G90" s="2">
        <v>126.2726650531817</v>
      </c>
      <c r="H90" s="3">
        <v>0.56640420000000002</v>
      </c>
      <c r="I90" s="3">
        <v>0.43158489999999999</v>
      </c>
      <c r="J90" s="3">
        <v>0.45738240000000002</v>
      </c>
      <c r="K90" s="3">
        <v>99.430541024121752</v>
      </c>
      <c r="L90" s="3">
        <v>81.401317828518842</v>
      </c>
      <c r="M90" s="3">
        <v>85.725318322199428</v>
      </c>
      <c r="N90" s="3">
        <v>33.619999999999997</v>
      </c>
      <c r="O90" s="3">
        <v>11.07</v>
      </c>
      <c r="P90" s="3">
        <v>25.91</v>
      </c>
      <c r="Q90" s="3">
        <v>27.432500000000001</v>
      </c>
      <c r="R90" s="3">
        <v>29.282499999999999</v>
      </c>
      <c r="S90" s="3">
        <v>28.842500000000001</v>
      </c>
      <c r="T90" s="3">
        <v>2100</v>
      </c>
      <c r="U90" s="3">
        <v>9525</v>
      </c>
      <c r="V90" s="3">
        <v>350</v>
      </c>
    </row>
    <row r="91" spans="1:22" x14ac:dyDescent="0.25">
      <c r="A91" s="3">
        <v>6</v>
      </c>
      <c r="B91" s="3">
        <v>2008</v>
      </c>
      <c r="C91" s="2">
        <v>-0.61</v>
      </c>
      <c r="D91" t="str">
        <f>IF(C91&gt;=0.5,"El Niño",IF(C91&lt;=-0.5,"La Niña","Neutro"))</f>
        <v>La Niña</v>
      </c>
      <c r="E91" s="2">
        <v>125.16381750896259</v>
      </c>
      <c r="F91" s="2">
        <v>115.0649302774174</v>
      </c>
      <c r="G91" s="2">
        <v>111.4547890061998</v>
      </c>
      <c r="H91" s="3">
        <v>0.58211900000000005</v>
      </c>
      <c r="I91" s="3">
        <v>0.30521160000000003</v>
      </c>
      <c r="J91" s="3">
        <v>0.32481949999999998</v>
      </c>
      <c r="K91" s="3">
        <v>92.379627687773834</v>
      </c>
      <c r="L91" s="3">
        <v>57.763315697716664</v>
      </c>
      <c r="M91" s="3">
        <v>57.636692042382251</v>
      </c>
      <c r="N91" s="3">
        <v>81.11</v>
      </c>
      <c r="O91" s="3">
        <v>1.67</v>
      </c>
      <c r="P91" s="3">
        <v>20.46</v>
      </c>
      <c r="Q91" s="3">
        <v>25.4725</v>
      </c>
      <c r="R91" s="3">
        <v>29.21</v>
      </c>
      <c r="S91" s="3">
        <v>28.67</v>
      </c>
      <c r="T91" s="3">
        <v>1200</v>
      </c>
      <c r="U91" s="3">
        <v>18425</v>
      </c>
      <c r="V91" s="3">
        <v>100</v>
      </c>
    </row>
    <row r="92" spans="1:22" x14ac:dyDescent="0.25">
      <c r="A92" s="3">
        <v>7</v>
      </c>
      <c r="B92" s="3">
        <v>2008</v>
      </c>
      <c r="C92" s="2">
        <v>-0.37</v>
      </c>
      <c r="D92" t="str">
        <f>IF(C92&gt;=0.5,"El Niño",IF(C92&lt;=-0.5,"La Niña","Neutro"))</f>
        <v>Neutro</v>
      </c>
      <c r="E92" s="2">
        <v>138.94294448374299</v>
      </c>
      <c r="F92" s="2">
        <v>93.815861761435968</v>
      </c>
      <c r="G92" s="2">
        <v>96.676087067908028</v>
      </c>
      <c r="H92" s="3">
        <v>0.54475669999999998</v>
      </c>
      <c r="I92" s="3">
        <v>0.1872849</v>
      </c>
      <c r="J92" s="3">
        <v>0.2366135</v>
      </c>
      <c r="K92" s="3">
        <v>89.40345590413672</v>
      </c>
      <c r="L92" s="3">
        <v>38.773506017094853</v>
      </c>
      <c r="M92" s="3">
        <v>43.765525191674797</v>
      </c>
      <c r="N92" s="3">
        <v>46.14</v>
      </c>
      <c r="O92" s="3">
        <v>0.61</v>
      </c>
      <c r="P92" s="3">
        <v>17.48</v>
      </c>
      <c r="Q92" s="3">
        <v>25.25</v>
      </c>
      <c r="R92" s="3">
        <v>30.267499999999998</v>
      </c>
      <c r="S92" s="3">
        <v>29.202500000000001</v>
      </c>
      <c r="T92" s="3">
        <v>4425</v>
      </c>
      <c r="U92" s="3">
        <v>43650</v>
      </c>
      <c r="V92" s="3">
        <v>175</v>
      </c>
    </row>
    <row r="93" spans="1:22" x14ac:dyDescent="0.25">
      <c r="A93" s="3">
        <v>8</v>
      </c>
      <c r="B93" s="3">
        <v>2008</v>
      </c>
      <c r="C93" s="2">
        <v>-0.23</v>
      </c>
      <c r="D93" t="str">
        <f>IF(C93&gt;=0.5,"El Niño",IF(C93&lt;=-0.5,"La Niña","Neutro"))</f>
        <v>Neutro</v>
      </c>
      <c r="E93" s="2">
        <v>139.05102472721811</v>
      </c>
      <c r="F93" s="2">
        <v>62.124762563886307</v>
      </c>
      <c r="G93" s="2">
        <v>73.608247942203889</v>
      </c>
      <c r="H93" s="3">
        <v>0.45564539999999998</v>
      </c>
      <c r="I93" s="3">
        <v>0.122948</v>
      </c>
      <c r="J93" s="3">
        <v>0.15970210000000001</v>
      </c>
      <c r="K93" s="3">
        <v>85.673097508303059</v>
      </c>
      <c r="L93" s="3">
        <v>29.859552692962701</v>
      </c>
      <c r="M93" s="3">
        <v>33.207267630674487</v>
      </c>
      <c r="N93" s="3">
        <v>23.87</v>
      </c>
      <c r="O93" s="3">
        <v>0.44</v>
      </c>
      <c r="P93" s="3">
        <v>10.93</v>
      </c>
      <c r="Q93" s="3">
        <v>28.094999999999999</v>
      </c>
      <c r="R93" s="3">
        <v>33.942500000000003</v>
      </c>
      <c r="S93" s="3">
        <v>32.875</v>
      </c>
      <c r="T93" s="3">
        <v>2575</v>
      </c>
      <c r="U93" s="3">
        <v>115550</v>
      </c>
      <c r="V93" s="3">
        <v>5475</v>
      </c>
    </row>
    <row r="94" spans="1:22" x14ac:dyDescent="0.25">
      <c r="A94" s="3">
        <v>9</v>
      </c>
      <c r="B94" s="3">
        <v>2008</v>
      </c>
      <c r="C94" s="2">
        <v>-0.24</v>
      </c>
      <c r="D94" t="str">
        <f>IF(C94&gt;=0.5,"El Niño",IF(C94&lt;=-0.5,"La Niña","Neutro"))</f>
        <v>Neutro</v>
      </c>
      <c r="E94" s="2">
        <v>130.0739736826381</v>
      </c>
      <c r="F94" s="2">
        <v>22.25261144414829</v>
      </c>
      <c r="G94" s="2">
        <v>49.994838676620837</v>
      </c>
      <c r="H94" s="3">
        <v>0.41324290000000002</v>
      </c>
      <c r="I94" s="3">
        <v>8.8898710000000006E-2</v>
      </c>
      <c r="J94" s="3">
        <v>0.1144295</v>
      </c>
      <c r="K94" s="3">
        <v>81.782693582087219</v>
      </c>
      <c r="L94" s="3">
        <v>23.810501061365489</v>
      </c>
      <c r="M94" s="3">
        <v>27.153099393479589</v>
      </c>
      <c r="N94" s="3">
        <v>28.34</v>
      </c>
      <c r="O94" s="3">
        <v>21.42</v>
      </c>
      <c r="P94" s="3">
        <v>13.76</v>
      </c>
      <c r="Q94" s="3">
        <v>33.1325</v>
      </c>
      <c r="R94" s="3">
        <v>38.597499999999997</v>
      </c>
      <c r="S94" s="3">
        <v>36.774999999999999</v>
      </c>
      <c r="T94" s="3">
        <v>7600</v>
      </c>
      <c r="U94" s="3">
        <v>264975</v>
      </c>
      <c r="V94" s="3">
        <v>33100</v>
      </c>
    </row>
    <row r="95" spans="1:22" x14ac:dyDescent="0.25">
      <c r="A95" s="3">
        <v>10</v>
      </c>
      <c r="B95" s="3">
        <v>2008</v>
      </c>
      <c r="C95" s="2">
        <v>-0.35</v>
      </c>
      <c r="D95" t="str">
        <f>IF(C95&gt;=0.5,"El Niño",IF(C95&lt;=-0.5,"La Niña","Neutro"))</f>
        <v>Neutro</v>
      </c>
      <c r="E95" s="2">
        <v>129.28884200909371</v>
      </c>
      <c r="F95" s="2">
        <v>9.4492335661118592</v>
      </c>
      <c r="G95" s="2">
        <v>37.328667126801228</v>
      </c>
      <c r="H95" s="3">
        <v>0.35753430000000003</v>
      </c>
      <c r="I95" s="3">
        <v>6.9157549999999998E-2</v>
      </c>
      <c r="J95" s="3">
        <v>8.6441699999999996E-2</v>
      </c>
      <c r="K95" s="3">
        <v>91.870946899412161</v>
      </c>
      <c r="L95" s="3">
        <v>20.08947331250959</v>
      </c>
      <c r="M95" s="3">
        <v>22.508613590954241</v>
      </c>
      <c r="N95" s="3">
        <v>14.5</v>
      </c>
      <c r="O95" s="3">
        <v>8.94</v>
      </c>
      <c r="P95" s="3">
        <v>5.55</v>
      </c>
      <c r="Q95" s="3">
        <v>35.092500000000001</v>
      </c>
      <c r="R95" s="3">
        <v>41.3125</v>
      </c>
      <c r="S95" s="3">
        <v>39.85</v>
      </c>
      <c r="T95" s="3">
        <v>17150</v>
      </c>
      <c r="U95" s="3">
        <v>482075</v>
      </c>
      <c r="V95" s="3">
        <v>193625</v>
      </c>
    </row>
    <row r="96" spans="1:22" x14ac:dyDescent="0.25">
      <c r="A96" s="3">
        <v>11</v>
      </c>
      <c r="B96" s="3">
        <v>2008</v>
      </c>
      <c r="C96" s="2">
        <v>-0.55000000000000004</v>
      </c>
      <c r="D96" t="str">
        <f>IF(C96&gt;=0.5,"El Niño",IF(C96&lt;=-0.5,"La Niña","Neutro"))</f>
        <v>La Niña</v>
      </c>
      <c r="E96" s="2">
        <v>95.970495218967613</v>
      </c>
      <c r="F96" s="2">
        <v>72.435476092952683</v>
      </c>
      <c r="G96" s="2">
        <v>53.149370168210332</v>
      </c>
      <c r="H96" s="3">
        <v>0.55979999999999996</v>
      </c>
      <c r="I96" s="3">
        <v>0.472113</v>
      </c>
      <c r="J96" s="3">
        <v>0.2458283</v>
      </c>
      <c r="K96" s="3">
        <v>87.809314627414906</v>
      </c>
      <c r="L96" s="3">
        <v>70.524874492522017</v>
      </c>
      <c r="M96" s="3">
        <v>45.948817384707148</v>
      </c>
      <c r="N96" s="3">
        <v>136.04</v>
      </c>
      <c r="O96" s="3">
        <v>211.36</v>
      </c>
      <c r="P96" s="3">
        <v>69.84</v>
      </c>
      <c r="Q96" s="3">
        <v>36.267499999999998</v>
      </c>
      <c r="R96" s="3">
        <v>35.047499999999999</v>
      </c>
      <c r="S96" s="3">
        <v>38.952500000000001</v>
      </c>
      <c r="T96" s="3">
        <v>24975</v>
      </c>
      <c r="U96" s="3">
        <v>125250</v>
      </c>
      <c r="V96" s="3">
        <v>230375</v>
      </c>
    </row>
    <row r="97" spans="1:22" x14ac:dyDescent="0.25">
      <c r="A97" s="3">
        <v>12</v>
      </c>
      <c r="B97" s="3">
        <v>2008</v>
      </c>
      <c r="C97" s="2">
        <v>-0.73</v>
      </c>
      <c r="D97" t="str">
        <f>IF(C97&gt;=0.5,"El Niño",IF(C97&lt;=-0.5,"La Niña","Neutro"))</f>
        <v>La Niña</v>
      </c>
      <c r="E97" s="2">
        <v>135.76866240957861</v>
      </c>
      <c r="F97" s="2">
        <v>104.79682349119361</v>
      </c>
      <c r="G97" s="2">
        <v>94.489762890046933</v>
      </c>
      <c r="H97" s="3">
        <v>0.58751540000000002</v>
      </c>
      <c r="I97" s="3">
        <v>0.54993610000000004</v>
      </c>
      <c r="J97" s="3">
        <v>0.3841464</v>
      </c>
      <c r="K97" s="3">
        <v>101.6094902390345</v>
      </c>
      <c r="L97" s="3">
        <v>94.759287351590444</v>
      </c>
      <c r="M97" s="3">
        <v>76.737708357582292</v>
      </c>
      <c r="N97" s="3">
        <v>142.44</v>
      </c>
      <c r="O97" s="3">
        <v>219.66</v>
      </c>
      <c r="P97" s="3">
        <v>127.74</v>
      </c>
      <c r="Q97" s="3">
        <v>31.184999999999999</v>
      </c>
      <c r="R97" s="3">
        <v>31.712499999999999</v>
      </c>
      <c r="S97" s="3">
        <v>32.297499999999999</v>
      </c>
      <c r="T97" s="3">
        <v>25</v>
      </c>
      <c r="U97" s="3">
        <v>2775</v>
      </c>
      <c r="V97" s="3">
        <v>625</v>
      </c>
    </row>
    <row r="98" spans="1:22" x14ac:dyDescent="0.25">
      <c r="A98" s="3">
        <v>1</v>
      </c>
      <c r="B98" s="3">
        <v>2009</v>
      </c>
      <c r="C98" s="2">
        <v>-0.85</v>
      </c>
      <c r="D98" t="str">
        <f>IF(C98&gt;=0.5,"El Niño",IF(C98&lt;=-0.5,"La Niña","Neutro"))</f>
        <v>La Niña</v>
      </c>
      <c r="E98" s="2">
        <v>147.60371457593271</v>
      </c>
      <c r="F98" s="2">
        <v>132.13197271224979</v>
      </c>
      <c r="G98" s="2">
        <v>120.93741448579959</v>
      </c>
      <c r="H98" s="3">
        <v>0.55445149999999999</v>
      </c>
      <c r="I98" s="3">
        <v>0.5410471</v>
      </c>
      <c r="J98" s="3">
        <v>0.41518040000000001</v>
      </c>
      <c r="K98" s="3">
        <v>116.373630775108</v>
      </c>
      <c r="L98" s="3">
        <v>113.30232753819701</v>
      </c>
      <c r="M98" s="3">
        <v>97.865361334067487</v>
      </c>
      <c r="N98" s="3">
        <v>102.95</v>
      </c>
      <c r="O98" s="3">
        <v>155.47</v>
      </c>
      <c r="P98" s="3">
        <v>92.06</v>
      </c>
      <c r="Q98" s="3">
        <v>28.686666666666671</v>
      </c>
      <c r="R98" s="3">
        <v>31.446666666666669</v>
      </c>
      <c r="S98" s="3">
        <v>32.590000000000003</v>
      </c>
      <c r="T98" s="3">
        <v>675</v>
      </c>
      <c r="U98" s="3">
        <v>0</v>
      </c>
      <c r="V98" s="3">
        <v>6300</v>
      </c>
    </row>
    <row r="99" spans="1:22" x14ac:dyDescent="0.25">
      <c r="A99" s="3">
        <v>2</v>
      </c>
      <c r="B99" s="3">
        <v>2009</v>
      </c>
      <c r="C99" s="2">
        <v>-0.79</v>
      </c>
      <c r="D99" t="str">
        <f>IF(C99&gt;=0.5,"El Niño",IF(C99&lt;=-0.5,"La Niña","Neutro"))</f>
        <v>La Niña</v>
      </c>
      <c r="E99" s="2">
        <v>157.74476834058689</v>
      </c>
      <c r="F99" s="2">
        <v>150.20208794468201</v>
      </c>
      <c r="G99" s="2">
        <v>129.02924414851199</v>
      </c>
      <c r="H99" s="3">
        <v>0.4935021</v>
      </c>
      <c r="I99" s="3">
        <v>0.57860630000000002</v>
      </c>
      <c r="J99" s="3">
        <v>0.39868769999999998</v>
      </c>
      <c r="K99" s="3">
        <v>121.1622439651896</v>
      </c>
      <c r="L99" s="3">
        <v>129.58280365949139</v>
      </c>
      <c r="M99" s="3">
        <v>98.919710291415299</v>
      </c>
      <c r="N99" s="3">
        <v>46.74</v>
      </c>
      <c r="O99" s="3">
        <v>96.81</v>
      </c>
      <c r="P99" s="3">
        <v>78.47</v>
      </c>
      <c r="Q99" s="3">
        <v>31.54</v>
      </c>
      <c r="R99" s="3">
        <v>30.5625</v>
      </c>
      <c r="S99" s="3">
        <v>31.697500000000002</v>
      </c>
      <c r="T99" s="3">
        <v>600</v>
      </c>
      <c r="U99" s="3">
        <v>1300</v>
      </c>
      <c r="V99" s="3">
        <v>975</v>
      </c>
    </row>
    <row r="100" spans="1:22" x14ac:dyDescent="0.25">
      <c r="A100" s="3">
        <v>3</v>
      </c>
      <c r="B100" s="3">
        <v>2009</v>
      </c>
      <c r="C100" s="2">
        <v>-0.61</v>
      </c>
      <c r="D100" t="str">
        <f>IF(C100&gt;=0.5,"El Niño",IF(C100&lt;=-0.5,"La Niña","Neutro"))</f>
        <v>La Niña</v>
      </c>
      <c r="E100" s="2">
        <v>117.17683752809251</v>
      </c>
      <c r="F100" s="2">
        <v>124.5186853696578</v>
      </c>
      <c r="G100" s="2">
        <v>111.0382666128973</v>
      </c>
      <c r="H100" s="3">
        <v>0.45645360000000001</v>
      </c>
      <c r="I100" s="3">
        <v>0.55510420000000005</v>
      </c>
      <c r="J100" s="3">
        <v>0.37174940000000001</v>
      </c>
      <c r="K100" s="3">
        <v>105.18372077612</v>
      </c>
      <c r="L100" s="3">
        <v>113.34194350952809</v>
      </c>
      <c r="M100" s="3">
        <v>84.853133524188721</v>
      </c>
      <c r="N100" s="3">
        <v>91.73</v>
      </c>
      <c r="O100" s="3">
        <v>107.15</v>
      </c>
      <c r="P100" s="3">
        <v>88.2</v>
      </c>
      <c r="Q100" s="3">
        <v>32.54</v>
      </c>
      <c r="R100" s="3">
        <v>30.86</v>
      </c>
      <c r="S100" s="3">
        <v>32.384999999999998</v>
      </c>
      <c r="T100" s="3">
        <v>2975</v>
      </c>
      <c r="U100" s="3">
        <v>16800</v>
      </c>
      <c r="V100" s="3">
        <v>1500</v>
      </c>
    </row>
    <row r="101" spans="1:22" x14ac:dyDescent="0.25">
      <c r="A101" s="3">
        <v>4</v>
      </c>
      <c r="B101" s="3">
        <v>2009</v>
      </c>
      <c r="C101" s="2">
        <v>-0.33</v>
      </c>
      <c r="D101" t="str">
        <f>IF(C101&gt;=0.5,"El Niño",IF(C101&lt;=-0.5,"La Niña","Neutro"))</f>
        <v>Neutro</v>
      </c>
      <c r="E101" s="2">
        <v>112.1125029393511</v>
      </c>
      <c r="F101" s="2">
        <v>105.91724915104101</v>
      </c>
      <c r="G101" s="2">
        <v>103.99316074088409</v>
      </c>
      <c r="H101" s="3">
        <v>0.63118850000000004</v>
      </c>
      <c r="I101" s="3">
        <v>0.68254599999999999</v>
      </c>
      <c r="J101" s="3">
        <v>0.52008759999999998</v>
      </c>
      <c r="K101" s="3">
        <v>108.6736976796312</v>
      </c>
      <c r="L101" s="3">
        <v>105.73031610934891</v>
      </c>
      <c r="M101" s="3">
        <v>94.879036383340704</v>
      </c>
      <c r="N101" s="3">
        <v>210.59</v>
      </c>
      <c r="O101" s="3">
        <v>237.23</v>
      </c>
      <c r="P101" s="3">
        <v>181.11</v>
      </c>
      <c r="Q101" s="3">
        <v>28.9</v>
      </c>
      <c r="R101" s="3">
        <v>29.074999999999999</v>
      </c>
      <c r="S101" s="3">
        <v>29.73</v>
      </c>
      <c r="T101" s="3">
        <v>125</v>
      </c>
      <c r="U101" s="3">
        <v>3225</v>
      </c>
      <c r="V101" s="3">
        <v>125</v>
      </c>
    </row>
    <row r="102" spans="1:22" x14ac:dyDescent="0.25">
      <c r="A102" s="3">
        <v>5</v>
      </c>
      <c r="B102" s="3">
        <v>2009</v>
      </c>
      <c r="C102" s="2">
        <v>0.01</v>
      </c>
      <c r="D102" t="str">
        <f>IF(C102&gt;=0.5,"El Niño",IF(C102&lt;=-0.5,"La Niña","Neutro"))</f>
        <v>Neutro</v>
      </c>
      <c r="E102" s="2">
        <v>131.30211421258161</v>
      </c>
      <c r="F102" s="2">
        <v>134.1444438839645</v>
      </c>
      <c r="G102" s="2">
        <v>130.6614754508459</v>
      </c>
      <c r="H102" s="3">
        <v>0.70443169999999999</v>
      </c>
      <c r="I102" s="3">
        <v>0.63357269999999999</v>
      </c>
      <c r="J102" s="3">
        <v>0.61126829999999999</v>
      </c>
      <c r="K102" s="3">
        <v>112.851047528091</v>
      </c>
      <c r="L102" s="3">
        <v>104.25194859439701</v>
      </c>
      <c r="M102" s="3">
        <v>99.644718357638538</v>
      </c>
      <c r="N102" s="3">
        <v>131.30000000000001</v>
      </c>
      <c r="O102" s="3">
        <v>78.5</v>
      </c>
      <c r="P102" s="3">
        <v>63.26</v>
      </c>
      <c r="Q102" s="3">
        <v>25.7</v>
      </c>
      <c r="R102" s="3">
        <v>27.377500000000001</v>
      </c>
      <c r="S102" s="3">
        <v>27.372499999999999</v>
      </c>
      <c r="T102" s="3">
        <v>0</v>
      </c>
      <c r="U102" s="3">
        <v>13725</v>
      </c>
      <c r="V102" s="3">
        <v>2450</v>
      </c>
    </row>
    <row r="103" spans="1:22" x14ac:dyDescent="0.25">
      <c r="A103" s="3">
        <v>6</v>
      </c>
      <c r="B103" s="3">
        <v>2009</v>
      </c>
      <c r="C103" s="2">
        <v>0.28000000000000003</v>
      </c>
      <c r="D103" t="str">
        <f>IF(C103&gt;=0.5,"El Niño",IF(C103&lt;=-0.5,"La Niña","Neutro"))</f>
        <v>Neutro</v>
      </c>
      <c r="E103" s="2">
        <v>134.45940014108879</v>
      </c>
      <c r="F103" s="2">
        <v>135.8705795115888</v>
      </c>
      <c r="G103" s="2">
        <v>128.76936369494439</v>
      </c>
      <c r="H103" s="3">
        <v>0.67817530000000004</v>
      </c>
      <c r="I103" s="3">
        <v>0.53306220000000004</v>
      </c>
      <c r="J103" s="3">
        <v>0.46466269999999998</v>
      </c>
      <c r="K103" s="3">
        <v>104.13437654098411</v>
      </c>
      <c r="L103" s="3">
        <v>91.901484499221127</v>
      </c>
      <c r="M103" s="3">
        <v>80.259835756617775</v>
      </c>
      <c r="N103" s="3">
        <v>65.08</v>
      </c>
      <c r="O103" s="3">
        <v>26.55</v>
      </c>
      <c r="P103" s="3">
        <v>24.19</v>
      </c>
      <c r="Q103" s="3">
        <v>24.95</v>
      </c>
      <c r="R103" s="3">
        <v>28.045000000000002</v>
      </c>
      <c r="S103" s="3">
        <v>27.84</v>
      </c>
      <c r="T103" s="3">
        <v>0</v>
      </c>
      <c r="U103" s="3">
        <v>11575</v>
      </c>
      <c r="V103" s="3">
        <v>2625</v>
      </c>
    </row>
    <row r="104" spans="1:22" x14ac:dyDescent="0.25">
      <c r="A104" s="3">
        <v>7</v>
      </c>
      <c r="B104" s="3">
        <v>2009</v>
      </c>
      <c r="C104" s="2">
        <v>0.45</v>
      </c>
      <c r="D104" t="str">
        <f>IF(C104&gt;=0.5,"El Niño",IF(C104&lt;=-0.5,"La Niña","Neutro"))</f>
        <v>Neutro</v>
      </c>
      <c r="E104" s="2">
        <v>152.0938005712942</v>
      </c>
      <c r="F104" s="2">
        <v>129.20520735179289</v>
      </c>
      <c r="G104" s="2">
        <v>110.50602403828481</v>
      </c>
      <c r="H104" s="3">
        <v>0.61939909999999998</v>
      </c>
      <c r="I104" s="3">
        <v>0.3575391</v>
      </c>
      <c r="J104" s="3">
        <v>0.30762060000000002</v>
      </c>
      <c r="K104" s="3">
        <v>105.15520723495069</v>
      </c>
      <c r="L104" s="3">
        <v>69.884929618957685</v>
      </c>
      <c r="M104" s="3">
        <v>56.778139600240998</v>
      </c>
      <c r="N104" s="3">
        <v>50.4</v>
      </c>
      <c r="O104" s="3">
        <v>0.72</v>
      </c>
      <c r="P104" s="3">
        <v>17.13</v>
      </c>
      <c r="Q104" s="3">
        <v>25.412500000000001</v>
      </c>
      <c r="R104" s="3">
        <v>30.57</v>
      </c>
      <c r="S104" s="3">
        <v>30.037500000000001</v>
      </c>
      <c r="T104" s="3">
        <v>925</v>
      </c>
      <c r="U104" s="3">
        <v>18525</v>
      </c>
      <c r="V104" s="3">
        <v>500</v>
      </c>
    </row>
    <row r="105" spans="1:22" x14ac:dyDescent="0.25">
      <c r="A105" s="3">
        <v>8</v>
      </c>
      <c r="B105" s="3">
        <v>2009</v>
      </c>
      <c r="C105" s="2">
        <v>0.57999999999999996</v>
      </c>
      <c r="D105" t="str">
        <f>IF(C105&gt;=0.5,"El Niño",IF(C105&lt;=-0.5,"La Niña","Neutro"))</f>
        <v>El Niño</v>
      </c>
      <c r="E105" s="2">
        <v>150.02077205669769</v>
      </c>
      <c r="F105" s="2">
        <v>101.8558008664123</v>
      </c>
      <c r="G105" s="2">
        <v>85.999787936491856</v>
      </c>
      <c r="H105" s="3">
        <v>0.53796409999999995</v>
      </c>
      <c r="I105" s="3">
        <v>0.22583880000000001</v>
      </c>
      <c r="J105" s="3">
        <v>0.2076345</v>
      </c>
      <c r="K105" s="3">
        <v>98.106315574050072</v>
      </c>
      <c r="L105" s="3">
        <v>51.473633744158462</v>
      </c>
      <c r="M105" s="3">
        <v>42.087827511279137</v>
      </c>
      <c r="N105" s="3">
        <v>66.2</v>
      </c>
      <c r="O105" s="3">
        <v>2.88</v>
      </c>
      <c r="P105" s="3">
        <v>17.440000000000001</v>
      </c>
      <c r="Q105" s="3">
        <v>27.94</v>
      </c>
      <c r="R105" s="3">
        <v>33.705000000000013</v>
      </c>
      <c r="S105" s="3">
        <v>33.247500000000002</v>
      </c>
      <c r="T105" s="3">
        <v>275</v>
      </c>
      <c r="U105" s="3">
        <v>38700</v>
      </c>
      <c r="V105" s="3">
        <v>1725</v>
      </c>
    </row>
    <row r="106" spans="1:22" x14ac:dyDescent="0.25">
      <c r="A106" s="3">
        <v>9</v>
      </c>
      <c r="B106" s="3">
        <v>2009</v>
      </c>
      <c r="C106" s="2">
        <v>0.71</v>
      </c>
      <c r="D106" t="str">
        <f>IF(C106&gt;=0.5,"El Niño",IF(C106&lt;=-0.5,"La Niña","Neutro"))</f>
        <v>El Niño</v>
      </c>
      <c r="E106" s="2">
        <v>150.1513707976917</v>
      </c>
      <c r="F106" s="2">
        <v>64.545757222960944</v>
      </c>
      <c r="G106" s="2">
        <v>56.921609862219</v>
      </c>
      <c r="H106" s="3">
        <v>0.44630300000000001</v>
      </c>
      <c r="I106" s="3">
        <v>0.1664004</v>
      </c>
      <c r="J106" s="3">
        <v>0.12739310000000001</v>
      </c>
      <c r="K106" s="3">
        <v>103.5661949265688</v>
      </c>
      <c r="L106" s="3">
        <v>43.911349346634708</v>
      </c>
      <c r="M106" s="3">
        <v>31.297575308370959</v>
      </c>
      <c r="N106" s="3">
        <v>26.89</v>
      </c>
      <c r="O106" s="3">
        <v>19.309999999999999</v>
      </c>
      <c r="P106" s="3">
        <v>6.42</v>
      </c>
      <c r="Q106" s="3">
        <v>31.28</v>
      </c>
      <c r="R106" s="3">
        <v>37.650000000000013</v>
      </c>
      <c r="S106" s="3">
        <v>37.74</v>
      </c>
      <c r="T106" s="3">
        <v>2150</v>
      </c>
      <c r="U106" s="3">
        <v>206550</v>
      </c>
      <c r="V106" s="3">
        <v>43600</v>
      </c>
    </row>
    <row r="107" spans="1:22" x14ac:dyDescent="0.25">
      <c r="A107" s="3">
        <v>10</v>
      </c>
      <c r="B107" s="3">
        <v>2009</v>
      </c>
      <c r="C107" s="2">
        <v>1.01</v>
      </c>
      <c r="D107" t="str">
        <f>IF(C107&gt;=0.5,"El Niño",IF(C107&lt;=-0.5,"La Niña","Neutro"))</f>
        <v>El Niño</v>
      </c>
      <c r="E107" s="2">
        <v>123.8424673587473</v>
      </c>
      <c r="F107" s="2">
        <v>81.036258769549264</v>
      </c>
      <c r="G107" s="2">
        <v>80.601566907001285</v>
      </c>
      <c r="H107" s="3">
        <v>0.54072560000000003</v>
      </c>
      <c r="I107" s="3">
        <v>0.501413</v>
      </c>
      <c r="J107" s="3">
        <v>0.3317891</v>
      </c>
      <c r="K107" s="3">
        <v>104.0388077534036</v>
      </c>
      <c r="L107" s="3">
        <v>79.46356247528189</v>
      </c>
      <c r="M107" s="3">
        <v>67.440874553493089</v>
      </c>
      <c r="N107" s="3">
        <v>172.55</v>
      </c>
      <c r="O107" s="3">
        <v>233.78</v>
      </c>
      <c r="P107" s="3">
        <v>168.21</v>
      </c>
      <c r="Q107" s="3">
        <v>32.35</v>
      </c>
      <c r="R107" s="3">
        <v>32.975000000000001</v>
      </c>
      <c r="S107" s="3">
        <v>34.752499999999998</v>
      </c>
      <c r="T107" s="3">
        <v>1150</v>
      </c>
      <c r="U107" s="3">
        <v>42775</v>
      </c>
      <c r="V107" s="3">
        <v>11550</v>
      </c>
    </row>
    <row r="108" spans="1:22" x14ac:dyDescent="0.25">
      <c r="A108" s="3">
        <v>11</v>
      </c>
      <c r="B108" s="3">
        <v>2009</v>
      </c>
      <c r="C108" s="2">
        <v>1.36</v>
      </c>
      <c r="D108" t="str">
        <f>IF(C108&gt;=0.5,"El Niño",IF(C108&lt;=-0.5,"La Niña","Neutro"))</f>
        <v>El Niño</v>
      </c>
      <c r="E108" s="2">
        <v>154.37803581960671</v>
      </c>
      <c r="F108" s="2">
        <v>136.60813729426741</v>
      </c>
      <c r="G108" s="2">
        <v>106.82450936955409</v>
      </c>
      <c r="H108" s="3">
        <v>0.45379130000000001</v>
      </c>
      <c r="I108" s="3">
        <v>0.44909490000000002</v>
      </c>
      <c r="J108" s="3">
        <v>0.31900780000000001</v>
      </c>
      <c r="K108" s="3">
        <v>118.08804537436779</v>
      </c>
      <c r="L108" s="3">
        <v>111.908111374771</v>
      </c>
      <c r="M108" s="3">
        <v>84.349586134901031</v>
      </c>
      <c r="N108" s="3">
        <v>34.159999999999997</v>
      </c>
      <c r="O108" s="3">
        <v>115.54</v>
      </c>
      <c r="P108" s="3">
        <v>20.29</v>
      </c>
      <c r="Q108" s="3">
        <v>32.547499999999999</v>
      </c>
      <c r="R108" s="3">
        <v>33.47</v>
      </c>
      <c r="S108" s="3">
        <v>34.412500000000001</v>
      </c>
      <c r="T108" s="3">
        <v>7075</v>
      </c>
      <c r="U108" s="3">
        <v>9525</v>
      </c>
      <c r="V108" s="3">
        <v>5200</v>
      </c>
    </row>
    <row r="109" spans="1:22" x14ac:dyDescent="0.25">
      <c r="A109" s="3">
        <v>12</v>
      </c>
      <c r="B109" s="3">
        <v>2009</v>
      </c>
      <c r="C109" s="2">
        <v>1.56</v>
      </c>
      <c r="D109" t="str">
        <f>IF(C109&gt;=0.5,"El Niño",IF(C109&lt;=-0.5,"La Niña","Neutro"))</f>
        <v>El Niño</v>
      </c>
      <c r="E109" s="2">
        <v>111.08877534106109</v>
      </c>
      <c r="F109" s="2">
        <v>116.44265920376429</v>
      </c>
      <c r="G109" s="2">
        <v>80.591121724333121</v>
      </c>
      <c r="H109" s="3">
        <v>0.4346103</v>
      </c>
      <c r="I109" s="3">
        <v>0.53185309999999997</v>
      </c>
      <c r="J109" s="3">
        <v>0.3452461</v>
      </c>
      <c r="K109" s="3">
        <v>93.190766861898581</v>
      </c>
      <c r="L109" s="3">
        <v>103.39362171804</v>
      </c>
      <c r="M109" s="3">
        <v>72.563982368291391</v>
      </c>
      <c r="N109" s="3">
        <v>49.26</v>
      </c>
      <c r="O109" s="3">
        <v>218.01</v>
      </c>
      <c r="P109" s="3">
        <v>84.95</v>
      </c>
      <c r="Q109" s="3">
        <v>33.229999999999997</v>
      </c>
      <c r="R109" s="3">
        <v>31.767499999999998</v>
      </c>
      <c r="S109" s="3">
        <v>34.072499999999998</v>
      </c>
      <c r="T109" s="3">
        <v>8075</v>
      </c>
      <c r="U109" s="3">
        <v>8000</v>
      </c>
      <c r="V109" s="3">
        <v>425</v>
      </c>
    </row>
    <row r="110" spans="1:22" x14ac:dyDescent="0.25">
      <c r="A110" s="3">
        <v>1</v>
      </c>
      <c r="B110" s="3">
        <v>2010</v>
      </c>
      <c r="C110" s="2">
        <v>1.5</v>
      </c>
      <c r="D110" t="str">
        <f>IF(C110&gt;=0.5,"El Niño",IF(C110&lt;=-0.5,"La Niña","Neutro"))</f>
        <v>El Niño</v>
      </c>
      <c r="E110" s="2">
        <v>119.398483487593</v>
      </c>
      <c r="F110" s="2">
        <v>140.44500400518959</v>
      </c>
      <c r="G110" s="2">
        <v>108.4331753605926</v>
      </c>
      <c r="H110" s="3">
        <v>0.4322358</v>
      </c>
      <c r="I110" s="3">
        <v>0.56777160000000004</v>
      </c>
      <c r="J110" s="3">
        <v>0.42094110000000001</v>
      </c>
      <c r="K110" s="3">
        <v>93.875698790601575</v>
      </c>
      <c r="L110" s="3">
        <v>119.3019259949797</v>
      </c>
      <c r="M110" s="3">
        <v>89.093235589805261</v>
      </c>
      <c r="N110" s="3">
        <v>37.58</v>
      </c>
      <c r="O110" s="3">
        <v>122.67</v>
      </c>
      <c r="P110" s="3">
        <v>55.44</v>
      </c>
      <c r="Q110" s="3">
        <v>32.596666666666671</v>
      </c>
      <c r="R110" s="3">
        <v>30.543333333333329</v>
      </c>
      <c r="S110" s="3">
        <v>30.74</v>
      </c>
      <c r="T110" s="3">
        <v>11125</v>
      </c>
      <c r="U110" s="3">
        <v>5650</v>
      </c>
      <c r="V110" s="3">
        <v>1075</v>
      </c>
    </row>
    <row r="111" spans="1:22" x14ac:dyDescent="0.25">
      <c r="A111" s="3">
        <v>2</v>
      </c>
      <c r="B111" s="3">
        <v>2010</v>
      </c>
      <c r="C111" s="2">
        <v>1.22</v>
      </c>
      <c r="D111" t="str">
        <f>IF(C111&gt;=0.5,"El Niño",IF(C111&lt;=-0.5,"La Niña","Neutro"))</f>
        <v>El Niño</v>
      </c>
      <c r="E111" s="2">
        <v>114.42028711195751</v>
      </c>
      <c r="F111" s="2">
        <v>143.46593470229439</v>
      </c>
      <c r="G111" s="2">
        <v>88.305760559780481</v>
      </c>
      <c r="H111" s="3">
        <v>0.42110540000000002</v>
      </c>
      <c r="I111" s="3">
        <v>0.515598</v>
      </c>
      <c r="J111" s="3">
        <v>0.29791279999999998</v>
      </c>
      <c r="K111" s="3">
        <v>91.364952199039109</v>
      </c>
      <c r="L111" s="3">
        <v>124.58359988538869</v>
      </c>
      <c r="M111" s="3">
        <v>71.509334987386538</v>
      </c>
      <c r="N111" s="3">
        <v>57.52</v>
      </c>
      <c r="O111" s="3">
        <v>81.77</v>
      </c>
      <c r="P111" s="3">
        <v>38.35</v>
      </c>
      <c r="Q111" s="3">
        <v>33.840000000000003</v>
      </c>
      <c r="R111" s="3">
        <v>31.112500000000001</v>
      </c>
      <c r="S111" s="3">
        <v>33.882499999999993</v>
      </c>
      <c r="T111" s="3">
        <v>6175</v>
      </c>
      <c r="U111" s="3">
        <v>9200</v>
      </c>
      <c r="V111" s="3">
        <v>1125</v>
      </c>
    </row>
    <row r="112" spans="1:22" x14ac:dyDescent="0.25">
      <c r="A112" s="3">
        <v>3</v>
      </c>
      <c r="B112" s="3">
        <v>2010</v>
      </c>
      <c r="C112" s="2">
        <v>0.84</v>
      </c>
      <c r="D112" t="str">
        <f>IF(C112&gt;=0.5,"El Niño",IF(C112&lt;=-0.5,"La Niña","Neutro"))</f>
        <v>El Niño</v>
      </c>
      <c r="E112" s="2">
        <v>110.80558495977429</v>
      </c>
      <c r="F112" s="2">
        <v>133.6522819492057</v>
      </c>
      <c r="G112" s="2">
        <v>106.6178515024088</v>
      </c>
      <c r="H112" s="3">
        <v>0.56087010000000004</v>
      </c>
      <c r="I112" s="3">
        <v>0.61588469999999995</v>
      </c>
      <c r="J112" s="3">
        <v>0.43763429999999998</v>
      </c>
      <c r="K112" s="3">
        <v>116.9604015085808</v>
      </c>
      <c r="L112" s="3">
        <v>130.57989378273891</v>
      </c>
      <c r="M112" s="3">
        <v>98.472508019484366</v>
      </c>
      <c r="N112" s="3">
        <v>200.45</v>
      </c>
      <c r="O112" s="3">
        <v>212.13</v>
      </c>
      <c r="P112" s="3">
        <v>134.38999999999999</v>
      </c>
      <c r="Q112" s="3">
        <v>31.445</v>
      </c>
      <c r="R112" s="3">
        <v>30.477499999999999</v>
      </c>
      <c r="S112" s="3">
        <v>31.92</v>
      </c>
      <c r="T112" s="3">
        <v>425</v>
      </c>
      <c r="U112" s="3">
        <v>11550</v>
      </c>
      <c r="V112" s="3">
        <v>0</v>
      </c>
    </row>
    <row r="113" spans="1:22" x14ac:dyDescent="0.25">
      <c r="A113" s="3">
        <v>4</v>
      </c>
      <c r="B113" s="3">
        <v>2010</v>
      </c>
      <c r="C113" s="2">
        <v>0.35</v>
      </c>
      <c r="D113" t="str">
        <f>IF(C113&gt;=0.5,"El Niño",IF(C113&lt;=-0.5,"La Niña","Neutro"))</f>
        <v>Neutro</v>
      </c>
      <c r="E113" s="2">
        <v>139.41576571540921</v>
      </c>
      <c r="F113" s="2">
        <v>149.0787123668552</v>
      </c>
      <c r="G113" s="2">
        <v>129.94546492450581</v>
      </c>
      <c r="H113" s="3">
        <v>0.63042679999999995</v>
      </c>
      <c r="I113" s="3">
        <v>0.55382909999999996</v>
      </c>
      <c r="J113" s="3">
        <v>0.492203</v>
      </c>
      <c r="K113" s="3">
        <v>126.7150770370226</v>
      </c>
      <c r="L113" s="3">
        <v>120.6549075038136</v>
      </c>
      <c r="M113" s="3">
        <v>106.93011508615869</v>
      </c>
      <c r="N113" s="3">
        <v>175.53</v>
      </c>
      <c r="O113" s="3">
        <v>95.68</v>
      </c>
      <c r="P113" s="3">
        <v>121.28</v>
      </c>
      <c r="Q113" s="3">
        <v>27.752500000000001</v>
      </c>
      <c r="R113" s="3">
        <v>29.934999999999999</v>
      </c>
      <c r="S113" s="3">
        <v>29.112500000000001</v>
      </c>
      <c r="T113" s="3">
        <v>0</v>
      </c>
      <c r="U113" s="3">
        <v>25150</v>
      </c>
      <c r="V113" s="3">
        <v>675</v>
      </c>
    </row>
    <row r="114" spans="1:22" x14ac:dyDescent="0.25">
      <c r="A114" s="3">
        <v>5</v>
      </c>
      <c r="B114" s="3">
        <v>2010</v>
      </c>
      <c r="C114" s="2">
        <v>-0.17</v>
      </c>
      <c r="D114" t="str">
        <f>IF(C114&gt;=0.5,"El Niño",IF(C114&lt;=-0.5,"La Niña","Neutro"))</f>
        <v>Neutro</v>
      </c>
      <c r="E114" s="2">
        <v>127.7027940218418</v>
      </c>
      <c r="F114" s="2">
        <v>123.2840557134988</v>
      </c>
      <c r="G114" s="2">
        <v>105.32719857788361</v>
      </c>
      <c r="H114" s="3">
        <v>0.63795080000000004</v>
      </c>
      <c r="I114" s="3">
        <v>0.49301020000000001</v>
      </c>
      <c r="J114" s="3">
        <v>0.36764269999999999</v>
      </c>
      <c r="K114" s="3">
        <v>114.90696441971291</v>
      </c>
      <c r="L114" s="3">
        <v>95.594513184338609</v>
      </c>
      <c r="M114" s="3">
        <v>74.761888527508688</v>
      </c>
      <c r="N114" s="3">
        <v>56.09</v>
      </c>
      <c r="O114" s="3">
        <v>25.42</v>
      </c>
      <c r="P114" s="3">
        <v>12.94</v>
      </c>
      <c r="Q114" s="3">
        <v>27.42</v>
      </c>
      <c r="R114" s="3">
        <v>30.594999999999999</v>
      </c>
      <c r="S114" s="3">
        <v>30.842500000000001</v>
      </c>
      <c r="T114" s="3">
        <v>0</v>
      </c>
      <c r="U114" s="3">
        <v>10775</v>
      </c>
      <c r="V114" s="3">
        <v>200</v>
      </c>
    </row>
    <row r="115" spans="1:22" x14ac:dyDescent="0.25">
      <c r="A115" s="3">
        <v>6</v>
      </c>
      <c r="B115" s="3">
        <v>2010</v>
      </c>
      <c r="C115" s="2">
        <v>-0.66</v>
      </c>
      <c r="D115" t="str">
        <f>IF(C115&gt;=0.5,"El Niño",IF(C115&lt;=-0.5,"La Niña","Neutro"))</f>
        <v>La Niña</v>
      </c>
      <c r="E115" s="2">
        <v>132.27795313228819</v>
      </c>
      <c r="F115" s="2">
        <v>122.306329410198</v>
      </c>
      <c r="G115" s="2">
        <v>95.479784693321506</v>
      </c>
      <c r="H115" s="3">
        <v>0.60928629999999995</v>
      </c>
      <c r="I115" s="3">
        <v>0.35704279999999999</v>
      </c>
      <c r="J115" s="3">
        <v>0.29006379999999998</v>
      </c>
      <c r="K115" s="3">
        <v>97.595728221570354</v>
      </c>
      <c r="L115" s="3">
        <v>65.984714722713221</v>
      </c>
      <c r="M115" s="3">
        <v>50.338389191803643</v>
      </c>
      <c r="N115" s="3">
        <v>30.41</v>
      </c>
      <c r="O115" s="3">
        <v>0.5</v>
      </c>
      <c r="P115" s="3">
        <v>18.96</v>
      </c>
      <c r="Q115" s="3">
        <v>26.162500000000001</v>
      </c>
      <c r="R115" s="3">
        <v>29.747499999999999</v>
      </c>
      <c r="S115" s="3">
        <v>29.95</v>
      </c>
      <c r="T115" s="3">
        <v>975</v>
      </c>
      <c r="U115" s="3">
        <v>23675</v>
      </c>
      <c r="V115" s="3">
        <v>1425</v>
      </c>
    </row>
    <row r="116" spans="1:22" x14ac:dyDescent="0.25">
      <c r="A116" s="3">
        <v>7</v>
      </c>
      <c r="B116" s="3">
        <v>2010</v>
      </c>
      <c r="C116" s="2">
        <v>-1.05</v>
      </c>
      <c r="D116" t="str">
        <f>IF(C116&gt;=0.5,"El Niño",IF(C116&lt;=-0.5,"La Niña","Neutro"))</f>
        <v>La Niña</v>
      </c>
      <c r="E116" s="2">
        <v>133.81741271572909</v>
      </c>
      <c r="F116" s="2">
        <v>105.9175641183438</v>
      </c>
      <c r="G116" s="2">
        <v>90.28140615430614</v>
      </c>
      <c r="H116" s="3">
        <v>0.60179070000000001</v>
      </c>
      <c r="I116" s="3">
        <v>0.25633610000000001</v>
      </c>
      <c r="J116" s="3">
        <v>0.25085150000000001</v>
      </c>
      <c r="K116" s="3">
        <v>90.571794412014071</v>
      </c>
      <c r="L116" s="3">
        <v>50.133991339580461</v>
      </c>
      <c r="M116" s="3">
        <v>43.918281469276877</v>
      </c>
      <c r="N116" s="3">
        <v>116.5</v>
      </c>
      <c r="O116" s="3">
        <v>3.06</v>
      </c>
      <c r="P116" s="3">
        <v>46.03</v>
      </c>
      <c r="Q116" s="3">
        <v>24.53</v>
      </c>
      <c r="R116" s="3">
        <v>30.162500000000001</v>
      </c>
      <c r="S116" s="3">
        <v>29.8475</v>
      </c>
      <c r="T116" s="3">
        <v>575</v>
      </c>
      <c r="U116" s="3">
        <v>91275</v>
      </c>
      <c r="V116" s="3">
        <v>2775</v>
      </c>
    </row>
    <row r="117" spans="1:22" x14ac:dyDescent="0.25">
      <c r="A117" s="3">
        <v>8</v>
      </c>
      <c r="B117" s="3">
        <v>2010</v>
      </c>
      <c r="C117" s="2">
        <v>-1.35</v>
      </c>
      <c r="D117" t="str">
        <f>IF(C117&gt;=0.5,"El Niño",IF(C117&lt;=-0.5,"La Niña","Neutro"))</f>
        <v>La Niña</v>
      </c>
      <c r="E117" s="2">
        <v>145.5178012883031</v>
      </c>
      <c r="F117" s="2">
        <v>84.388430954365049</v>
      </c>
      <c r="G117" s="2">
        <v>84.555232329637789</v>
      </c>
      <c r="H117" s="3">
        <v>0.50701620000000003</v>
      </c>
      <c r="I117" s="3">
        <v>0.1545793</v>
      </c>
      <c r="J117" s="3">
        <v>0.18970980000000001</v>
      </c>
      <c r="K117" s="3">
        <v>90.431872374845298</v>
      </c>
      <c r="L117" s="3">
        <v>36.058576277068852</v>
      </c>
      <c r="M117" s="3">
        <v>38.739264324255537</v>
      </c>
      <c r="N117" s="3">
        <v>40.47</v>
      </c>
      <c r="O117" s="3">
        <v>0.87</v>
      </c>
      <c r="P117" s="3">
        <v>13.17</v>
      </c>
      <c r="Q117" s="3">
        <v>27.1675</v>
      </c>
      <c r="R117" s="3">
        <v>33.472499999999997</v>
      </c>
      <c r="S117" s="3">
        <v>32.22</v>
      </c>
      <c r="T117" s="3">
        <v>575</v>
      </c>
      <c r="U117" s="3">
        <v>391300</v>
      </c>
      <c r="V117" s="3">
        <v>12900</v>
      </c>
    </row>
    <row r="118" spans="1:22" x14ac:dyDescent="0.25">
      <c r="A118" s="3">
        <v>9</v>
      </c>
      <c r="B118" s="3">
        <v>2010</v>
      </c>
      <c r="C118" s="2">
        <v>-1.56</v>
      </c>
      <c r="D118" t="str">
        <f>IF(C118&gt;=0.5,"El Niño",IF(C118&lt;=-0.5,"La Niña","Neutro"))</f>
        <v>La Niña</v>
      </c>
      <c r="E118" s="2">
        <v>144.32951204844821</v>
      </c>
      <c r="F118" s="2">
        <v>51.446638566444783</v>
      </c>
      <c r="G118" s="2">
        <v>61.514858680503643</v>
      </c>
      <c r="H118" s="3">
        <v>0.43699909999999997</v>
      </c>
      <c r="I118" s="3">
        <v>0.11481230000000001</v>
      </c>
      <c r="J118" s="3">
        <v>0.13181960000000001</v>
      </c>
      <c r="K118" s="3">
        <v>89.408985216298134</v>
      </c>
      <c r="L118" s="3">
        <v>30.01639204339088</v>
      </c>
      <c r="M118" s="3">
        <v>30.81950072038158</v>
      </c>
      <c r="N118" s="3">
        <v>33.36</v>
      </c>
      <c r="O118" s="3">
        <v>11.53</v>
      </c>
      <c r="P118" s="3">
        <v>10.96</v>
      </c>
      <c r="Q118" s="3">
        <v>30.657499999999999</v>
      </c>
      <c r="R118" s="3">
        <v>38.537500000000001</v>
      </c>
      <c r="S118" s="3">
        <v>36.797499999999999</v>
      </c>
      <c r="T118" s="3">
        <v>4075</v>
      </c>
      <c r="U118" s="3">
        <v>866250</v>
      </c>
      <c r="V118" s="3">
        <v>49650</v>
      </c>
    </row>
    <row r="119" spans="1:22" x14ac:dyDescent="0.25">
      <c r="A119" s="3">
        <v>10</v>
      </c>
      <c r="B119" s="3">
        <v>2010</v>
      </c>
      <c r="C119" s="2">
        <v>-1.64</v>
      </c>
      <c r="D119" t="str">
        <f>IF(C119&gt;=0.5,"El Niño",IF(C119&lt;=-0.5,"La Niña","Neutro"))</f>
        <v>La Niña</v>
      </c>
      <c r="E119" s="2">
        <v>130.2439455150321</v>
      </c>
      <c r="F119" s="2">
        <v>61.22665337656651</v>
      </c>
      <c r="G119" s="2">
        <v>60.554073936547283</v>
      </c>
      <c r="H119" s="3">
        <v>0.45120440000000001</v>
      </c>
      <c r="I119" s="3">
        <v>0.28710960000000002</v>
      </c>
      <c r="J119" s="3">
        <v>0.18597469999999999</v>
      </c>
      <c r="K119" s="3">
        <v>97.913424419907813</v>
      </c>
      <c r="L119" s="3">
        <v>60.563612516848679</v>
      </c>
      <c r="M119" s="3">
        <v>44.769809468268527</v>
      </c>
      <c r="N119" s="3">
        <v>68.209999999999994</v>
      </c>
      <c r="O119" s="3">
        <v>133.49</v>
      </c>
      <c r="P119" s="3">
        <v>67.94</v>
      </c>
      <c r="Q119" s="3">
        <v>33.912499999999987</v>
      </c>
      <c r="R119" s="3">
        <v>37.642499999999998</v>
      </c>
      <c r="S119" s="3">
        <v>37.397500000000001</v>
      </c>
      <c r="T119" s="3">
        <v>2500</v>
      </c>
      <c r="U119" s="3">
        <v>410050</v>
      </c>
      <c r="V119" s="3">
        <v>133975</v>
      </c>
    </row>
    <row r="120" spans="1:22" x14ac:dyDescent="0.25">
      <c r="A120" s="3">
        <v>11</v>
      </c>
      <c r="B120" s="3">
        <v>2010</v>
      </c>
      <c r="C120" s="2">
        <v>-1.64</v>
      </c>
      <c r="D120" t="str">
        <f>IF(C120&gt;=0.5,"El Niño",IF(C120&lt;=-0.5,"La Niña","Neutro"))</f>
        <v>La Niña</v>
      </c>
      <c r="E120" s="2">
        <v>127.5280444931017</v>
      </c>
      <c r="F120" s="2">
        <v>97.629666045879091</v>
      </c>
      <c r="G120" s="2">
        <v>78.673744556752041</v>
      </c>
      <c r="H120" s="3">
        <v>0.51249920000000004</v>
      </c>
      <c r="I120" s="3">
        <v>0.4850931</v>
      </c>
      <c r="J120" s="3">
        <v>0.30042869999999999</v>
      </c>
      <c r="K120" s="3">
        <v>106.33154980363111</v>
      </c>
      <c r="L120" s="3">
        <v>94.586652017401562</v>
      </c>
      <c r="M120" s="3">
        <v>68.588398449114038</v>
      </c>
      <c r="N120" s="3">
        <v>153.84</v>
      </c>
      <c r="O120" s="3">
        <v>199.12</v>
      </c>
      <c r="P120" s="3">
        <v>66.900000000000006</v>
      </c>
      <c r="Q120" s="3">
        <v>31.11</v>
      </c>
      <c r="R120" s="3">
        <v>34.43</v>
      </c>
      <c r="S120" s="3">
        <v>35.442500000000003</v>
      </c>
      <c r="T120" s="3">
        <v>925</v>
      </c>
      <c r="U120" s="3">
        <v>41900</v>
      </c>
      <c r="V120" s="3">
        <v>9175</v>
      </c>
    </row>
    <row r="121" spans="1:22" x14ac:dyDescent="0.25">
      <c r="A121" s="3">
        <v>12</v>
      </c>
      <c r="B121" s="3">
        <v>2010</v>
      </c>
      <c r="C121" s="2">
        <v>-1.54</v>
      </c>
      <c r="D121" t="str">
        <f>IF(C121&gt;=0.5,"El Niño",IF(C121&lt;=-0.5,"La Niña","Neutro"))</f>
        <v>La Niña</v>
      </c>
      <c r="E121" s="2">
        <v>121.2301033880599</v>
      </c>
      <c r="F121" s="2">
        <v>109.2133708765211</v>
      </c>
      <c r="G121" s="2">
        <v>105.3810313960273</v>
      </c>
      <c r="H121" s="3">
        <v>0.52525449999999996</v>
      </c>
      <c r="I121" s="3">
        <v>0.54107300000000003</v>
      </c>
      <c r="J121" s="3">
        <v>0.44731710000000002</v>
      </c>
      <c r="K121" s="3">
        <v>105.6137639480378</v>
      </c>
      <c r="L121" s="3">
        <v>98.396809042995386</v>
      </c>
      <c r="M121" s="3">
        <v>92.067097227088752</v>
      </c>
      <c r="N121" s="3">
        <v>121.55</v>
      </c>
      <c r="O121" s="3">
        <v>206.54</v>
      </c>
      <c r="P121" s="3">
        <v>155.03</v>
      </c>
      <c r="Q121" s="3">
        <v>31.27</v>
      </c>
      <c r="R121" s="3">
        <v>32.377499999999998</v>
      </c>
      <c r="S121" s="3">
        <v>32.340000000000003</v>
      </c>
      <c r="T121" s="3">
        <v>800</v>
      </c>
      <c r="U121" s="3">
        <v>28475</v>
      </c>
      <c r="V121" s="3">
        <v>2450</v>
      </c>
    </row>
    <row r="122" spans="1:22" x14ac:dyDescent="0.25">
      <c r="A122" s="3">
        <v>1</v>
      </c>
      <c r="B122" s="3">
        <v>2011</v>
      </c>
      <c r="C122" s="2">
        <v>-1.31</v>
      </c>
      <c r="D122" t="str">
        <f>IF(C122&gt;=0.5,"El Niño",IF(C122&lt;=-0.5,"La Niña","Neutro"))</f>
        <v>La Niña</v>
      </c>
      <c r="E122" s="2">
        <v>132.43584659093099</v>
      </c>
      <c r="F122" s="2">
        <v>132.3474710809169</v>
      </c>
      <c r="G122" s="2">
        <v>122.98124689560061</v>
      </c>
      <c r="H122" s="3">
        <v>0.5243892</v>
      </c>
      <c r="I122" s="3">
        <v>0.6194733</v>
      </c>
      <c r="J122" s="3">
        <v>0.463088</v>
      </c>
      <c r="K122" s="3">
        <v>108.0986379893386</v>
      </c>
      <c r="L122" s="3">
        <v>115.5596404674851</v>
      </c>
      <c r="M122" s="3">
        <v>101.2812986046489</v>
      </c>
      <c r="N122" s="3">
        <v>80.36</v>
      </c>
      <c r="O122" s="3">
        <v>196.15</v>
      </c>
      <c r="P122" s="3">
        <v>76.099999999999994</v>
      </c>
      <c r="Q122" s="3">
        <v>30.52333333333333</v>
      </c>
      <c r="R122" s="3">
        <v>30.916666666666671</v>
      </c>
      <c r="S122" s="3">
        <v>30.693333333333332</v>
      </c>
      <c r="T122" s="3">
        <v>1000</v>
      </c>
      <c r="U122" s="3">
        <v>3775</v>
      </c>
      <c r="V122" s="3">
        <v>2875</v>
      </c>
    </row>
    <row r="123" spans="1:22" x14ac:dyDescent="0.25">
      <c r="A123" s="3">
        <v>2</v>
      </c>
      <c r="B123" s="3">
        <v>2011</v>
      </c>
      <c r="C123" s="2">
        <v>-1.04</v>
      </c>
      <c r="D123" t="str">
        <f>IF(C123&gt;=0.5,"El Niño",IF(C123&lt;=-0.5,"La Niña","Neutro"))</f>
        <v>La Niña</v>
      </c>
      <c r="E123" s="2">
        <v>146.28047557736599</v>
      </c>
      <c r="F123" s="2">
        <v>136.54059991081641</v>
      </c>
      <c r="G123" s="2">
        <v>120.5255816981487</v>
      </c>
      <c r="H123" s="3">
        <v>0.47928379999999998</v>
      </c>
      <c r="I123" s="3">
        <v>0.62665459999999995</v>
      </c>
      <c r="J123" s="3">
        <v>0.41800730000000003</v>
      </c>
      <c r="K123" s="3">
        <v>114.5105729293559</v>
      </c>
      <c r="L123" s="3">
        <v>128.73761410687911</v>
      </c>
      <c r="M123" s="3">
        <v>89.553249074721279</v>
      </c>
      <c r="N123" s="3">
        <v>39.47</v>
      </c>
      <c r="O123" s="3">
        <v>180.37</v>
      </c>
      <c r="P123" s="3">
        <v>86.45</v>
      </c>
      <c r="Q123" s="3">
        <v>30.817499999999999</v>
      </c>
      <c r="R123" s="3">
        <v>30.247499999999999</v>
      </c>
      <c r="S123" s="3">
        <v>31.237500000000001</v>
      </c>
      <c r="T123" s="3">
        <v>1950</v>
      </c>
      <c r="U123" s="3">
        <v>3050</v>
      </c>
      <c r="V123" s="3">
        <v>1600</v>
      </c>
    </row>
    <row r="124" spans="1:22" x14ac:dyDescent="0.25">
      <c r="A124" s="3">
        <v>3</v>
      </c>
      <c r="B124" s="3">
        <v>2011</v>
      </c>
      <c r="C124" s="2">
        <v>-0.8</v>
      </c>
      <c r="D124" t="str">
        <f>IF(C124&gt;=0.5,"El Niño",IF(C124&lt;=-0.5,"La Niña","Neutro"))</f>
        <v>La Niña</v>
      </c>
      <c r="E124" s="2">
        <v>113.16843194775861</v>
      </c>
      <c r="F124" s="2">
        <v>118.52768726026871</v>
      </c>
      <c r="G124" s="2">
        <v>118.11604667087821</v>
      </c>
      <c r="H124" s="3">
        <v>0.55374699999999999</v>
      </c>
      <c r="I124" s="3">
        <v>0.69999900000000004</v>
      </c>
      <c r="J124" s="3">
        <v>0.51977720000000005</v>
      </c>
      <c r="K124" s="3">
        <v>111.7229678500775</v>
      </c>
      <c r="L124" s="3">
        <v>119.6243335189714</v>
      </c>
      <c r="M124" s="3">
        <v>103.45787634283769</v>
      </c>
      <c r="N124" s="3">
        <v>155.55000000000001</v>
      </c>
      <c r="O124" s="3">
        <v>247.94</v>
      </c>
      <c r="P124" s="3">
        <v>162.56</v>
      </c>
      <c r="Q124" s="3">
        <v>31.145</v>
      </c>
      <c r="R124" s="3">
        <v>28.53</v>
      </c>
      <c r="S124" s="3">
        <v>29.555</v>
      </c>
      <c r="T124" s="3">
        <v>275</v>
      </c>
      <c r="U124" s="3">
        <v>2250</v>
      </c>
      <c r="V124" s="3">
        <v>1700</v>
      </c>
    </row>
    <row r="125" spans="1:22" x14ac:dyDescent="0.25">
      <c r="A125" s="3">
        <v>4</v>
      </c>
      <c r="B125" s="3">
        <v>2011</v>
      </c>
      <c r="C125" s="2">
        <v>-0.62</v>
      </c>
      <c r="D125" t="str">
        <f>IF(C125&gt;=0.5,"El Niño",IF(C125&lt;=-0.5,"La Niña","Neutro"))</f>
        <v>La Niña</v>
      </c>
      <c r="E125" s="2">
        <v>145.66174545412491</v>
      </c>
      <c r="F125" s="2">
        <v>158.01007955900539</v>
      </c>
      <c r="G125" s="2">
        <v>147.5884966629213</v>
      </c>
      <c r="H125" s="3">
        <v>0.61808160000000001</v>
      </c>
      <c r="I125" s="3">
        <v>0.63041760000000002</v>
      </c>
      <c r="J125" s="3">
        <v>0.49474990000000002</v>
      </c>
      <c r="K125" s="3">
        <v>128.9853501992925</v>
      </c>
      <c r="L125" s="3">
        <v>132.57348301411659</v>
      </c>
      <c r="M125" s="3">
        <v>114.36716857170251</v>
      </c>
      <c r="N125" s="3">
        <v>179.32</v>
      </c>
      <c r="O125" s="3">
        <v>75.790000000000006</v>
      </c>
      <c r="P125" s="3">
        <v>57.34</v>
      </c>
      <c r="Q125" s="3">
        <v>27.637499999999999</v>
      </c>
      <c r="R125" s="3">
        <v>28.68</v>
      </c>
      <c r="S125" s="3">
        <v>28.767499999999998</v>
      </c>
      <c r="T125" s="3">
        <v>175</v>
      </c>
      <c r="U125" s="3">
        <v>63375</v>
      </c>
      <c r="V125" s="3">
        <v>250</v>
      </c>
    </row>
    <row r="126" spans="1:22" x14ac:dyDescent="0.25">
      <c r="A126" s="3">
        <v>5</v>
      </c>
      <c r="B126" s="3">
        <v>2011</v>
      </c>
      <c r="C126" s="2">
        <v>-0.46</v>
      </c>
      <c r="D126" t="str">
        <f>IF(C126&gt;=0.5,"El Niño",IF(C126&lt;=-0.5,"La Niña","Neutro"))</f>
        <v>Neutro</v>
      </c>
      <c r="E126" s="2">
        <v>141.0111323344037</v>
      </c>
      <c r="F126" s="2">
        <v>145.4402956374708</v>
      </c>
      <c r="G126" s="2">
        <v>119.6308935365801</v>
      </c>
      <c r="H126" s="3">
        <v>0.67888360000000003</v>
      </c>
      <c r="I126" s="3">
        <v>0.56321390000000005</v>
      </c>
      <c r="J126" s="3">
        <v>0.44399359999999999</v>
      </c>
      <c r="K126" s="3">
        <v>113.26345882100711</v>
      </c>
      <c r="L126" s="3">
        <v>102.2280862329193</v>
      </c>
      <c r="M126" s="3">
        <v>77.183700077616663</v>
      </c>
      <c r="N126" s="3">
        <v>71.12</v>
      </c>
      <c r="O126" s="3">
        <v>15.64</v>
      </c>
      <c r="P126" s="3">
        <v>24.3</v>
      </c>
      <c r="Q126" s="3">
        <v>25.327500000000001</v>
      </c>
      <c r="R126" s="3">
        <v>29.2775</v>
      </c>
      <c r="S126" s="3">
        <v>28.9375</v>
      </c>
      <c r="T126" s="3">
        <v>75</v>
      </c>
      <c r="U126" s="3">
        <v>21050</v>
      </c>
      <c r="V126" s="3">
        <v>625</v>
      </c>
    </row>
    <row r="127" spans="1:22" x14ac:dyDescent="0.25">
      <c r="A127" s="3">
        <v>6</v>
      </c>
      <c r="B127" s="3">
        <v>2011</v>
      </c>
      <c r="C127" s="2">
        <v>-0.37</v>
      </c>
      <c r="D127" t="str">
        <f>IF(C127&gt;=0.5,"El Niño",IF(C127&lt;=-0.5,"La Niña","Neutro"))</f>
        <v>Neutro</v>
      </c>
      <c r="E127" s="2">
        <v>130.5880633434974</v>
      </c>
      <c r="F127" s="2">
        <v>125.11797997203431</v>
      </c>
      <c r="G127" s="2">
        <v>99.49109519595693</v>
      </c>
      <c r="H127" s="3">
        <v>0.63068950000000001</v>
      </c>
      <c r="I127" s="3">
        <v>0.43087569999999997</v>
      </c>
      <c r="J127" s="3">
        <v>0.2959233</v>
      </c>
      <c r="K127" s="3">
        <v>100.583605975851</v>
      </c>
      <c r="L127" s="3">
        <v>76.745041445717007</v>
      </c>
      <c r="M127" s="3">
        <v>52.803171608824059</v>
      </c>
      <c r="N127" s="3">
        <v>37.92</v>
      </c>
      <c r="O127" s="3">
        <v>0.87</v>
      </c>
      <c r="P127" s="3">
        <v>11.34</v>
      </c>
      <c r="Q127" s="3">
        <v>25.3125</v>
      </c>
      <c r="R127" s="3">
        <v>29.677499999999998</v>
      </c>
      <c r="S127" s="3">
        <v>30.032499999999999</v>
      </c>
      <c r="T127" s="3">
        <v>875</v>
      </c>
      <c r="U127" s="3">
        <v>29425</v>
      </c>
      <c r="V127" s="3">
        <v>225</v>
      </c>
    </row>
    <row r="128" spans="1:22" x14ac:dyDescent="0.25">
      <c r="A128" s="3">
        <v>7</v>
      </c>
      <c r="B128" s="3">
        <v>2011</v>
      </c>
      <c r="C128" s="2">
        <v>-0.43</v>
      </c>
      <c r="D128" t="str">
        <f>IF(C128&gt;=0.5,"El Niño",IF(C128&lt;=-0.5,"La Niña","Neutro"))</f>
        <v>Neutro</v>
      </c>
      <c r="E128" s="2">
        <v>132.66117338894651</v>
      </c>
      <c r="F128" s="2">
        <v>111.0922971225184</v>
      </c>
      <c r="G128" s="2">
        <v>82.47411262399514</v>
      </c>
      <c r="H128" s="3">
        <v>0.55031640000000004</v>
      </c>
      <c r="I128" s="3">
        <v>0.27028819999999998</v>
      </c>
      <c r="J128" s="3">
        <v>0.20329</v>
      </c>
      <c r="K128" s="3">
        <v>89.129349692534078</v>
      </c>
      <c r="L128" s="3">
        <v>53.138041881562913</v>
      </c>
      <c r="M128" s="3">
        <v>37.39444995594485</v>
      </c>
      <c r="N128" s="3">
        <v>33.42</v>
      </c>
      <c r="O128" s="3">
        <v>0.57999999999999996</v>
      </c>
      <c r="P128" s="3">
        <v>14.26</v>
      </c>
      <c r="Q128" s="3">
        <v>25.7925</v>
      </c>
      <c r="R128" s="3">
        <v>30.984999999999999</v>
      </c>
      <c r="S128" s="3">
        <v>30.697500000000002</v>
      </c>
      <c r="T128" s="3">
        <v>1350</v>
      </c>
      <c r="U128" s="3">
        <v>50250</v>
      </c>
      <c r="V128" s="3">
        <v>2400</v>
      </c>
    </row>
    <row r="129" spans="1:22" x14ac:dyDescent="0.25">
      <c r="A129" s="3">
        <v>8</v>
      </c>
      <c r="B129" s="3">
        <v>2011</v>
      </c>
      <c r="C129" s="2">
        <v>-0.57999999999999996</v>
      </c>
      <c r="D129" t="str">
        <f>IF(C129&gt;=0.5,"El Niño",IF(C129&lt;=-0.5,"La Niña","Neutro"))</f>
        <v>La Niña</v>
      </c>
      <c r="E129" s="2">
        <v>148.1829363442568</v>
      </c>
      <c r="F129" s="2">
        <v>86.167128591807625</v>
      </c>
      <c r="G129" s="2">
        <v>69.539349257596442</v>
      </c>
      <c r="H129" s="3">
        <v>0.4824947</v>
      </c>
      <c r="I129" s="3">
        <v>0.16497990000000001</v>
      </c>
      <c r="J129" s="3">
        <v>0.14156579999999999</v>
      </c>
      <c r="K129" s="3">
        <v>92.302124487150749</v>
      </c>
      <c r="L129" s="3">
        <v>39.160883233653763</v>
      </c>
      <c r="M129" s="3">
        <v>30.28445700597474</v>
      </c>
      <c r="N129" s="3">
        <v>21.15</v>
      </c>
      <c r="O129" s="3">
        <v>0.5</v>
      </c>
      <c r="P129" s="3">
        <v>8.59</v>
      </c>
      <c r="Q129" s="3">
        <v>27.734999999999999</v>
      </c>
      <c r="R129" s="3">
        <v>34.702500000000001</v>
      </c>
      <c r="S129" s="3">
        <v>33.417499999999997</v>
      </c>
      <c r="T129" s="3">
        <v>5025</v>
      </c>
      <c r="U129" s="3">
        <v>172925</v>
      </c>
      <c r="V129" s="3">
        <v>11025</v>
      </c>
    </row>
    <row r="130" spans="1:22" x14ac:dyDescent="0.25">
      <c r="A130" s="3">
        <v>9</v>
      </c>
      <c r="B130" s="3">
        <v>2011</v>
      </c>
      <c r="C130" s="2">
        <v>-0.79</v>
      </c>
      <c r="D130" t="str">
        <f>IF(C130&gt;=0.5,"El Niño",IF(C130&lt;=-0.5,"La Niña","Neutro"))</f>
        <v>La Niña</v>
      </c>
      <c r="E130" s="2">
        <v>136.77150641260391</v>
      </c>
      <c r="F130" s="2">
        <v>57.509585013932409</v>
      </c>
      <c r="G130" s="2">
        <v>56.045878804245611</v>
      </c>
      <c r="H130" s="3">
        <v>0.4302319</v>
      </c>
      <c r="I130" s="3">
        <v>0.13763149999999999</v>
      </c>
      <c r="J130" s="3">
        <v>0.11359470000000001</v>
      </c>
      <c r="K130" s="3">
        <v>81.321820237201919</v>
      </c>
      <c r="L130" s="3">
        <v>34.139145419178838</v>
      </c>
      <c r="M130" s="3">
        <v>25.859499116183169</v>
      </c>
      <c r="N130" s="3">
        <v>20.81</v>
      </c>
      <c r="O130" s="3">
        <v>1.8</v>
      </c>
      <c r="P130" s="3">
        <v>6.21</v>
      </c>
      <c r="Q130" s="3">
        <v>31.3125</v>
      </c>
      <c r="R130" s="3">
        <v>38.032499999999999</v>
      </c>
      <c r="S130" s="3">
        <v>36.075000000000003</v>
      </c>
      <c r="T130" s="3">
        <v>13450</v>
      </c>
      <c r="U130" s="3">
        <v>876400</v>
      </c>
      <c r="V130" s="3">
        <v>96525</v>
      </c>
    </row>
    <row r="131" spans="1:22" x14ac:dyDescent="0.25">
      <c r="A131" s="3">
        <v>10</v>
      </c>
      <c r="B131" s="3">
        <v>2011</v>
      </c>
      <c r="C131" s="2">
        <v>-0.96</v>
      </c>
      <c r="D131" t="str">
        <f>IF(C131&gt;=0.5,"El Niño",IF(C131&lt;=-0.5,"La Niña","Neutro"))</f>
        <v>La Niña</v>
      </c>
      <c r="E131" s="2">
        <v>130.0653811904661</v>
      </c>
      <c r="F131" s="2">
        <v>88.484398928990103</v>
      </c>
      <c r="G131" s="2">
        <v>74.151894828974719</v>
      </c>
      <c r="H131" s="3">
        <v>0.54187770000000002</v>
      </c>
      <c r="I131" s="3">
        <v>0.39810590000000001</v>
      </c>
      <c r="J131" s="3">
        <v>0.24849299999999999</v>
      </c>
      <c r="K131" s="3">
        <v>87.652208004833696</v>
      </c>
      <c r="L131" s="3">
        <v>79.767890667247798</v>
      </c>
      <c r="M131" s="3">
        <v>52.71869819901589</v>
      </c>
      <c r="N131" s="3">
        <v>93.22</v>
      </c>
      <c r="O131" s="3">
        <v>145.6</v>
      </c>
      <c r="P131" s="3">
        <v>63.91</v>
      </c>
      <c r="Q131" s="3">
        <v>33.034999999999997</v>
      </c>
      <c r="R131" s="3">
        <v>36.232500000000002</v>
      </c>
      <c r="S131" s="3">
        <v>36.630000000000003</v>
      </c>
      <c r="T131" s="3">
        <v>275</v>
      </c>
      <c r="U131" s="3">
        <v>109250</v>
      </c>
      <c r="V131" s="3">
        <v>24225</v>
      </c>
    </row>
    <row r="132" spans="1:22" x14ac:dyDescent="0.25">
      <c r="A132" s="3">
        <v>11</v>
      </c>
      <c r="B132" s="3">
        <v>2011</v>
      </c>
      <c r="C132" s="2">
        <v>-1.02</v>
      </c>
      <c r="D132" t="str">
        <f>IF(C132&gt;=0.5,"El Niño",IF(C132&lt;=-0.5,"La Niña","Neutro"))</f>
        <v>La Niña</v>
      </c>
      <c r="E132" s="2">
        <v>147.7613904190647</v>
      </c>
      <c r="F132" s="2">
        <v>118.954031520943</v>
      </c>
      <c r="G132" s="2">
        <v>108.5609918646651</v>
      </c>
      <c r="H132" s="3">
        <v>0.58466399999999996</v>
      </c>
      <c r="I132" s="3">
        <v>0.56540219999999997</v>
      </c>
      <c r="J132" s="3">
        <v>0.38715559999999999</v>
      </c>
      <c r="K132" s="3">
        <v>106.0847664525937</v>
      </c>
      <c r="L132" s="3">
        <v>108.0218693753683</v>
      </c>
      <c r="M132" s="3">
        <v>86.067758386007526</v>
      </c>
      <c r="N132" s="3">
        <v>165.21</v>
      </c>
      <c r="O132" s="3">
        <v>216.58</v>
      </c>
      <c r="P132" s="3">
        <v>91.69</v>
      </c>
      <c r="Q132" s="3">
        <v>30.287500000000001</v>
      </c>
      <c r="R132" s="3">
        <v>32.29</v>
      </c>
      <c r="S132" s="3">
        <v>33.255000000000003</v>
      </c>
      <c r="T132" s="3">
        <v>225</v>
      </c>
      <c r="U132" s="3">
        <v>22200</v>
      </c>
      <c r="V132" s="3">
        <v>2350</v>
      </c>
    </row>
    <row r="133" spans="1:22" x14ac:dyDescent="0.25">
      <c r="A133" s="3">
        <v>12</v>
      </c>
      <c r="B133" s="3">
        <v>2011</v>
      </c>
      <c r="C133" s="2">
        <v>-0.92</v>
      </c>
      <c r="D133" t="str">
        <f>IF(C133&gt;=0.5,"El Niño",IF(C133&lt;=-0.5,"La Niña","Neutro"))</f>
        <v>La Niña</v>
      </c>
      <c r="E133" s="2">
        <v>138.78758957792849</v>
      </c>
      <c r="F133" s="2">
        <v>125.3541243364198</v>
      </c>
      <c r="G133" s="2">
        <v>105.7411564400314</v>
      </c>
      <c r="H133" s="3">
        <v>0.55482900000000002</v>
      </c>
      <c r="I133" s="3">
        <v>0.54995289999999997</v>
      </c>
      <c r="J133" s="3">
        <v>0.3735309</v>
      </c>
      <c r="K133" s="3">
        <v>105.6719821075302</v>
      </c>
      <c r="L133" s="3">
        <v>108.30521340306871</v>
      </c>
      <c r="M133" s="3">
        <v>82.571802594338635</v>
      </c>
      <c r="N133" s="3">
        <v>142.22</v>
      </c>
      <c r="O133" s="3">
        <v>235.44</v>
      </c>
      <c r="P133" s="3">
        <v>83.98</v>
      </c>
      <c r="Q133" s="3">
        <v>30.675000000000001</v>
      </c>
      <c r="R133" s="3">
        <v>31.787500000000001</v>
      </c>
      <c r="S133" s="3">
        <v>33.680000000000007</v>
      </c>
      <c r="T133" s="3">
        <v>350</v>
      </c>
      <c r="U133" s="3">
        <v>1775</v>
      </c>
      <c r="V133" s="3">
        <v>4950</v>
      </c>
    </row>
    <row r="134" spans="1:22" x14ac:dyDescent="0.25">
      <c r="A134" s="3">
        <v>1</v>
      </c>
      <c r="B134" s="3">
        <v>2012</v>
      </c>
      <c r="C134" s="2">
        <v>-0.72</v>
      </c>
      <c r="D134" t="str">
        <f>IF(C134&gt;=0.5,"El Niño",IF(C134&lt;=-0.5,"La Niña","Neutro"))</f>
        <v>La Niña</v>
      </c>
      <c r="E134" s="2">
        <v>132.50332734540939</v>
      </c>
      <c r="F134" s="2">
        <v>112.1601690452314</v>
      </c>
      <c r="G134" s="2">
        <v>83.542685552667493</v>
      </c>
      <c r="H134" s="3">
        <v>0.50361160000000005</v>
      </c>
      <c r="I134" s="3">
        <v>0.57908159999999997</v>
      </c>
      <c r="J134" s="3">
        <v>0.30595689999999998</v>
      </c>
      <c r="K134" s="3">
        <v>96.811297009150891</v>
      </c>
      <c r="L134" s="3">
        <v>99.722601636843507</v>
      </c>
      <c r="M134" s="3">
        <v>64.522708574440543</v>
      </c>
      <c r="N134" s="3">
        <v>49.9</v>
      </c>
      <c r="O134" s="3">
        <v>190</v>
      </c>
      <c r="P134" s="3">
        <v>37.42</v>
      </c>
      <c r="Q134" s="3">
        <v>29.11333333333333</v>
      </c>
      <c r="R134" s="3">
        <v>29.556666666666668</v>
      </c>
      <c r="S134" s="3">
        <v>31.923333333333328</v>
      </c>
      <c r="T134" s="3">
        <v>975</v>
      </c>
      <c r="U134" s="3">
        <v>6450</v>
      </c>
      <c r="V134" s="3">
        <v>7250</v>
      </c>
    </row>
    <row r="135" spans="1:22" x14ac:dyDescent="0.25">
      <c r="A135" s="3">
        <v>2</v>
      </c>
      <c r="B135" s="3">
        <v>2012</v>
      </c>
      <c r="C135" s="2">
        <v>-0.56999999999999995</v>
      </c>
      <c r="D135" t="str">
        <f>IF(C135&gt;=0.5,"El Niño",IF(C135&lt;=-0.5,"La Niña","Neutro"))</f>
        <v>La Niña</v>
      </c>
      <c r="E135" s="2">
        <v>149.03586779280761</v>
      </c>
      <c r="F135" s="2">
        <v>130.4423466577349</v>
      </c>
      <c r="G135" s="2">
        <v>94.827202134380116</v>
      </c>
      <c r="H135" s="3">
        <v>0.44819199999999998</v>
      </c>
      <c r="I135" s="3">
        <v>0.56254939999999998</v>
      </c>
      <c r="J135" s="3">
        <v>0.29678979999999999</v>
      </c>
      <c r="K135" s="3">
        <v>105.439620321012</v>
      </c>
      <c r="L135" s="3">
        <v>116.99631690032849</v>
      </c>
      <c r="M135" s="3">
        <v>66.593689167861271</v>
      </c>
      <c r="N135" s="3">
        <v>57.6</v>
      </c>
      <c r="O135" s="3">
        <v>87.52</v>
      </c>
      <c r="P135" s="3">
        <v>66.88</v>
      </c>
      <c r="Q135" s="3">
        <v>31.46</v>
      </c>
      <c r="R135" s="3">
        <v>30.34</v>
      </c>
      <c r="S135" s="3">
        <v>31.973333333333329</v>
      </c>
      <c r="T135" s="3">
        <v>3125</v>
      </c>
      <c r="U135" s="3">
        <v>9950</v>
      </c>
      <c r="V135" s="3">
        <v>1150</v>
      </c>
    </row>
    <row r="136" spans="1:22" x14ac:dyDescent="0.25">
      <c r="A136" s="3">
        <v>3</v>
      </c>
      <c r="B136" s="3">
        <v>2012</v>
      </c>
      <c r="C136" s="2">
        <v>-0.46</v>
      </c>
      <c r="D136" t="str">
        <f>IF(C136&gt;=0.5,"El Niño",IF(C136&lt;=-0.5,"La Niña","Neutro"))</f>
        <v>Neutro</v>
      </c>
      <c r="E136" s="2">
        <v>133.79420494890351</v>
      </c>
      <c r="F136" s="2">
        <v>123.10846315729999</v>
      </c>
      <c r="G136" s="2">
        <v>78.078461254683731</v>
      </c>
      <c r="H136" s="3">
        <v>0.43219649999999998</v>
      </c>
      <c r="I136" s="3">
        <v>0.4531328</v>
      </c>
      <c r="J136" s="3">
        <v>0.21192820000000001</v>
      </c>
      <c r="K136" s="3">
        <v>105.5216787346633</v>
      </c>
      <c r="L136" s="3">
        <v>101.4730497913589</v>
      </c>
      <c r="M136" s="3">
        <v>54.624917664214728</v>
      </c>
      <c r="N136" s="3">
        <v>34.08</v>
      </c>
      <c r="O136" s="3">
        <v>78.010000000000005</v>
      </c>
      <c r="P136" s="3">
        <v>20.36</v>
      </c>
      <c r="Q136" s="3">
        <v>32.475000000000001</v>
      </c>
      <c r="R136" s="3">
        <v>31.995000000000001</v>
      </c>
      <c r="S136" s="3">
        <v>35.056666666666658</v>
      </c>
      <c r="T136" s="3">
        <v>1675</v>
      </c>
      <c r="U136" s="3">
        <v>34600</v>
      </c>
      <c r="V136" s="3">
        <v>5675</v>
      </c>
    </row>
    <row r="137" spans="1:22" x14ac:dyDescent="0.25">
      <c r="A137" s="3">
        <v>4</v>
      </c>
      <c r="B137" s="3">
        <v>2012</v>
      </c>
      <c r="C137" s="2">
        <v>-0.36</v>
      </c>
      <c r="D137" t="str">
        <f>IF(C137&gt;=0.5,"El Niño",IF(C137&lt;=-0.5,"La Niña","Neutro"))</f>
        <v>Neutro</v>
      </c>
      <c r="E137" s="2">
        <v>119.6919949423887</v>
      </c>
      <c r="F137" s="2">
        <v>110.5090787660384</v>
      </c>
      <c r="G137" s="2">
        <v>53.622331783745722</v>
      </c>
      <c r="H137" s="3">
        <v>0.4350907</v>
      </c>
      <c r="I137" s="3">
        <v>0.3611299</v>
      </c>
      <c r="J137" s="3">
        <v>0.1580754</v>
      </c>
      <c r="K137" s="3">
        <v>94.678277606151269</v>
      </c>
      <c r="L137" s="3">
        <v>83.471098372034845</v>
      </c>
      <c r="M137" s="3">
        <v>38.052697254589297</v>
      </c>
      <c r="N137" s="3">
        <v>12.26</v>
      </c>
      <c r="O137" s="3">
        <v>24.13</v>
      </c>
      <c r="P137" s="3">
        <v>4.6399999999999997</v>
      </c>
      <c r="Q137" s="3">
        <v>31.29</v>
      </c>
      <c r="R137" s="3">
        <v>32.655000000000001</v>
      </c>
      <c r="S137" s="3">
        <v>34.846666666666671</v>
      </c>
      <c r="T137" s="3">
        <v>3000</v>
      </c>
      <c r="U137" s="3">
        <v>16200</v>
      </c>
      <c r="V137" s="3">
        <v>3200</v>
      </c>
    </row>
    <row r="138" spans="1:22" x14ac:dyDescent="0.25">
      <c r="A138" s="3">
        <v>5</v>
      </c>
      <c r="B138" s="3">
        <v>2012</v>
      </c>
      <c r="C138" s="2">
        <v>-0.17</v>
      </c>
      <c r="D138" t="str">
        <f>IF(C138&gt;=0.5,"El Niño",IF(C138&lt;=-0.5,"La Niña","Neutro"))</f>
        <v>Neutro</v>
      </c>
      <c r="E138" s="2">
        <v>109.66436831899961</v>
      </c>
      <c r="F138" s="2">
        <v>94.270733262443827</v>
      </c>
      <c r="G138" s="2">
        <v>54.27511712326455</v>
      </c>
      <c r="H138" s="3">
        <v>0.51708600000000005</v>
      </c>
      <c r="I138" s="3">
        <v>0.31575799999999998</v>
      </c>
      <c r="J138" s="3">
        <v>0.1620934</v>
      </c>
      <c r="K138" s="3">
        <v>85.221596288969224</v>
      </c>
      <c r="L138" s="3">
        <v>61.704546720259557</v>
      </c>
      <c r="M138" s="3">
        <v>31.38139799258089</v>
      </c>
      <c r="N138" s="3">
        <v>81.97</v>
      </c>
      <c r="O138" s="3">
        <v>21.19</v>
      </c>
      <c r="P138" s="3">
        <v>20.75</v>
      </c>
      <c r="Q138" s="3">
        <v>28.2</v>
      </c>
      <c r="R138" s="3">
        <v>31.29</v>
      </c>
      <c r="S138" s="3">
        <v>32.913333333333327</v>
      </c>
      <c r="T138" s="3">
        <v>575</v>
      </c>
      <c r="U138" s="3">
        <v>32850</v>
      </c>
      <c r="V138" s="3">
        <v>2700</v>
      </c>
    </row>
    <row r="139" spans="1:22" x14ac:dyDescent="0.25">
      <c r="A139" s="3">
        <v>6</v>
      </c>
      <c r="B139" s="3">
        <v>2012</v>
      </c>
      <c r="C139" s="2">
        <v>0.06</v>
      </c>
      <c r="D139" t="str">
        <f>IF(C139&gt;=0.5,"El Niño",IF(C139&lt;=-0.5,"La Niña","Neutro"))</f>
        <v>Neutro</v>
      </c>
      <c r="E139" s="2">
        <v>119.6092779411821</v>
      </c>
      <c r="F139" s="2">
        <v>83.264490412766563</v>
      </c>
      <c r="G139" s="2">
        <v>59.633102542834678</v>
      </c>
      <c r="H139" s="3">
        <v>0.55391170000000001</v>
      </c>
      <c r="I139" s="3">
        <v>0.21246380000000001</v>
      </c>
      <c r="J139" s="3">
        <v>0.16213569999999999</v>
      </c>
      <c r="K139" s="3">
        <v>87.778028709812588</v>
      </c>
      <c r="L139" s="3">
        <v>42.626787775329511</v>
      </c>
      <c r="M139" s="3">
        <v>28.29335614591934</v>
      </c>
      <c r="N139" s="3">
        <v>53.21</v>
      </c>
      <c r="O139" s="3">
        <v>1.48</v>
      </c>
      <c r="P139" s="3">
        <v>13.17</v>
      </c>
      <c r="Q139" s="3">
        <v>26.407499999999999</v>
      </c>
      <c r="R139" s="3">
        <v>31.427499999999998</v>
      </c>
      <c r="S139" s="3">
        <v>31.706666666666671</v>
      </c>
      <c r="T139" s="3">
        <v>2125</v>
      </c>
      <c r="U139" s="3">
        <v>33325</v>
      </c>
      <c r="V139" s="3">
        <v>125</v>
      </c>
    </row>
    <row r="140" spans="1:22" x14ac:dyDescent="0.25">
      <c r="A140" s="3">
        <v>7</v>
      </c>
      <c r="B140" s="3">
        <v>2012</v>
      </c>
      <c r="C140" s="2">
        <v>0.3</v>
      </c>
      <c r="D140" t="str">
        <f>IF(C140&gt;=0.5,"El Niño",IF(C140&lt;=-0.5,"La Niña","Neutro"))</f>
        <v>Neutro</v>
      </c>
      <c r="E140" s="2">
        <v>130.6114285824425</v>
      </c>
      <c r="F140" s="2">
        <v>71.406907690972886</v>
      </c>
      <c r="G140" s="2">
        <v>65.389433769596906</v>
      </c>
      <c r="H140" s="3">
        <v>0.53707579999999999</v>
      </c>
      <c r="I140" s="3">
        <v>0.1413191</v>
      </c>
      <c r="J140" s="3">
        <v>0.14879580000000001</v>
      </c>
      <c r="K140" s="3">
        <v>88.646586494888552</v>
      </c>
      <c r="L140" s="3">
        <v>30.55452634042793</v>
      </c>
      <c r="M140" s="3">
        <v>26.937895448479001</v>
      </c>
      <c r="N140" s="3">
        <v>46.74</v>
      </c>
      <c r="O140" s="3">
        <v>0.56000000000000005</v>
      </c>
      <c r="P140" s="3">
        <v>12.67</v>
      </c>
      <c r="Q140" s="3">
        <v>25.267499999999998</v>
      </c>
      <c r="R140" s="3">
        <v>31.9025</v>
      </c>
      <c r="S140" s="3">
        <v>31.87</v>
      </c>
      <c r="T140" s="3">
        <v>2675</v>
      </c>
      <c r="U140" s="3">
        <v>136450</v>
      </c>
      <c r="V140" s="3">
        <v>2525</v>
      </c>
    </row>
    <row r="141" spans="1:22" x14ac:dyDescent="0.25">
      <c r="A141" s="3">
        <v>8</v>
      </c>
      <c r="B141" s="3">
        <v>2012</v>
      </c>
      <c r="C141" s="2">
        <v>0.41</v>
      </c>
      <c r="D141" t="str">
        <f>IF(C141&gt;=0.5,"El Niño",IF(C141&lt;=-0.5,"La Niña","Neutro"))</f>
        <v>Neutro</v>
      </c>
      <c r="E141" s="2">
        <v>139.71193260887159</v>
      </c>
      <c r="F141" s="2">
        <v>61.606341516564541</v>
      </c>
      <c r="G141" s="2">
        <v>64.366227087723701</v>
      </c>
      <c r="H141" s="3">
        <v>0.47535179999999999</v>
      </c>
      <c r="I141" s="3">
        <v>0.1051969</v>
      </c>
      <c r="J141" s="3">
        <v>0.12914519999999999</v>
      </c>
      <c r="K141" s="3">
        <v>87.419363433483099</v>
      </c>
      <c r="L141" s="3">
        <v>25.622298158954621</v>
      </c>
      <c r="M141" s="3">
        <v>26.25069164471951</v>
      </c>
      <c r="N141" s="3">
        <v>91.18</v>
      </c>
      <c r="O141" s="3">
        <v>1.05</v>
      </c>
      <c r="P141" s="3">
        <v>19.760000000000002</v>
      </c>
      <c r="Q141" s="3">
        <v>26.5275</v>
      </c>
      <c r="R141" s="3">
        <v>34.314999999999998</v>
      </c>
      <c r="S141" s="3">
        <v>33.270000000000003</v>
      </c>
      <c r="T141" s="3">
        <v>300</v>
      </c>
      <c r="U141" s="3">
        <v>311000</v>
      </c>
      <c r="V141" s="3">
        <v>8775</v>
      </c>
    </row>
    <row r="142" spans="1:22" x14ac:dyDescent="0.25">
      <c r="A142" s="3">
        <v>9</v>
      </c>
      <c r="B142" s="3">
        <v>2012</v>
      </c>
      <c r="C142" s="2">
        <v>0.41</v>
      </c>
      <c r="D142" t="str">
        <f>IF(C142&gt;=0.5,"El Niño",IF(C142&lt;=-0.5,"La Niña","Neutro"))</f>
        <v>Neutro</v>
      </c>
      <c r="E142" s="2">
        <v>141.99156319508421</v>
      </c>
      <c r="F142" s="2">
        <v>21.801718095184292</v>
      </c>
      <c r="G142" s="2">
        <v>47.386778453177222</v>
      </c>
      <c r="H142" s="3">
        <v>0.43062260000000002</v>
      </c>
      <c r="I142" s="3">
        <v>6.2851870000000004E-2</v>
      </c>
      <c r="J142" s="3">
        <v>9.157614E-2</v>
      </c>
      <c r="K142" s="3">
        <v>89.900425871965538</v>
      </c>
      <c r="L142" s="3">
        <v>17.177058564775582</v>
      </c>
      <c r="M142" s="3">
        <v>21.663257162052389</v>
      </c>
      <c r="N142" s="3">
        <v>22.62</v>
      </c>
      <c r="O142" s="3">
        <v>3.32</v>
      </c>
      <c r="P142" s="3">
        <v>3.84</v>
      </c>
      <c r="Q142" s="3">
        <v>31.232500000000002</v>
      </c>
      <c r="R142" s="3">
        <v>39.402500000000003</v>
      </c>
      <c r="S142" s="3">
        <v>38.049999999999997</v>
      </c>
      <c r="T142" s="3">
        <v>4075</v>
      </c>
      <c r="U142" s="3">
        <v>1291775</v>
      </c>
      <c r="V142" s="3">
        <v>114075</v>
      </c>
    </row>
    <row r="143" spans="1:22" x14ac:dyDescent="0.25">
      <c r="A143" s="3">
        <v>10</v>
      </c>
      <c r="B143" s="3">
        <v>2012</v>
      </c>
      <c r="C143" s="2">
        <v>0.31</v>
      </c>
      <c r="D143" t="str">
        <f>IF(C143&gt;=0.5,"El Niño",IF(C143&lt;=-0.5,"La Niña","Neutro"))</f>
        <v>Neutro</v>
      </c>
      <c r="E143" s="2">
        <v>119.9172122616234</v>
      </c>
      <c r="F143" s="2">
        <v>28.973881523061621</v>
      </c>
      <c r="G143" s="2">
        <v>34.461944041240891</v>
      </c>
      <c r="H143" s="3">
        <v>0.4161668</v>
      </c>
      <c r="I143" s="3">
        <v>0.1220536</v>
      </c>
      <c r="J143" s="3">
        <v>0.10276830000000001</v>
      </c>
      <c r="K143" s="3">
        <v>90.129347158742064</v>
      </c>
      <c r="L143" s="3">
        <v>30.722464829656889</v>
      </c>
      <c r="M143" s="3">
        <v>24.281490806917841</v>
      </c>
      <c r="N143" s="3">
        <v>54.14</v>
      </c>
      <c r="O143" s="3">
        <v>27.03</v>
      </c>
      <c r="P143" s="3">
        <v>13.99</v>
      </c>
      <c r="Q143" s="3">
        <v>35.06</v>
      </c>
      <c r="R143" s="3">
        <v>43.024999999999999</v>
      </c>
      <c r="S143" s="3">
        <v>41.836666666666673</v>
      </c>
      <c r="T143" s="3">
        <v>7650</v>
      </c>
      <c r="U143" s="3">
        <v>369975</v>
      </c>
      <c r="V143" s="3">
        <v>109400</v>
      </c>
    </row>
    <row r="144" spans="1:22" x14ac:dyDescent="0.25">
      <c r="A144" s="3">
        <v>11</v>
      </c>
      <c r="B144" s="3">
        <v>2012</v>
      </c>
      <c r="C144" s="2">
        <v>0.13</v>
      </c>
      <c r="D144" t="str">
        <f>IF(C144&gt;=0.5,"El Niño",IF(C144&lt;=-0.5,"La Niña","Neutro"))</f>
        <v>Neutro</v>
      </c>
      <c r="E144" s="2">
        <v>133.79420494890351</v>
      </c>
      <c r="F144" s="2">
        <v>85.73481831370421</v>
      </c>
      <c r="G144" s="2">
        <v>83.372571756836905</v>
      </c>
      <c r="H144" s="3">
        <v>0.51262609999999997</v>
      </c>
      <c r="I144" s="3">
        <v>0.55676639999999999</v>
      </c>
      <c r="J144" s="3">
        <v>0.32549899999999998</v>
      </c>
      <c r="K144" s="3">
        <v>103.8811341642872</v>
      </c>
      <c r="L144" s="3">
        <v>82.495769873362548</v>
      </c>
      <c r="M144" s="3">
        <v>65.70877605088566</v>
      </c>
      <c r="N144" s="3">
        <v>195.41</v>
      </c>
      <c r="O144" s="3">
        <v>331.54</v>
      </c>
      <c r="P144" s="3">
        <v>158.31</v>
      </c>
      <c r="Q144" s="3">
        <v>32.045000000000002</v>
      </c>
      <c r="R144" s="3">
        <v>34.942500000000003</v>
      </c>
      <c r="S144" s="3">
        <v>34.926666666666669</v>
      </c>
      <c r="T144" s="3">
        <v>850</v>
      </c>
      <c r="U144" s="3">
        <v>26075</v>
      </c>
      <c r="V144" s="3">
        <v>8775</v>
      </c>
    </row>
    <row r="145" spans="1:22" x14ac:dyDescent="0.25">
      <c r="A145" s="3">
        <v>12</v>
      </c>
      <c r="B145" s="3">
        <v>2012</v>
      </c>
      <c r="C145" s="2">
        <v>-0.1</v>
      </c>
      <c r="D145" t="str">
        <f>IF(C145&gt;=0.5,"El Niño",IF(C145&lt;=-0.5,"La Niña","Neutro"))</f>
        <v>Neutro</v>
      </c>
      <c r="E145" s="2">
        <v>132.98309555107531</v>
      </c>
      <c r="F145" s="2">
        <v>113.29443894053151</v>
      </c>
      <c r="G145" s="2">
        <v>89.955333900765311</v>
      </c>
      <c r="H145" s="3">
        <v>0.41550389999999998</v>
      </c>
      <c r="I145" s="3">
        <v>0.36598940000000002</v>
      </c>
      <c r="J145" s="3">
        <v>0.26744820000000002</v>
      </c>
      <c r="K145" s="3">
        <v>105.89709705397949</v>
      </c>
      <c r="L145" s="3">
        <v>86.296396401849918</v>
      </c>
      <c r="M145" s="3">
        <v>66.174114630229255</v>
      </c>
      <c r="N145" s="3">
        <v>7.1</v>
      </c>
      <c r="O145" s="3">
        <v>56.38</v>
      </c>
      <c r="P145" s="3">
        <v>16.43</v>
      </c>
      <c r="Q145" s="3">
        <v>33.262500000000003</v>
      </c>
      <c r="R145" s="3">
        <v>36.232500000000002</v>
      </c>
      <c r="S145" s="3">
        <v>36.296666666666667</v>
      </c>
      <c r="T145" s="3">
        <v>5975</v>
      </c>
      <c r="U145" s="3">
        <v>21650</v>
      </c>
      <c r="V145" s="3">
        <v>29650</v>
      </c>
    </row>
    <row r="146" spans="1:22" x14ac:dyDescent="0.25">
      <c r="A146" s="3">
        <v>1</v>
      </c>
      <c r="B146" s="3">
        <v>2013</v>
      </c>
      <c r="C146" s="2">
        <v>-0.28999999999999998</v>
      </c>
      <c r="D146" t="str">
        <f>IF(C146&gt;=0.5,"El Niño",IF(C146&lt;=-0.5,"La Niña","Neutro"))</f>
        <v>Neutro</v>
      </c>
      <c r="E146" s="2">
        <v>114.9081592530772</v>
      </c>
      <c r="F146" s="2">
        <v>103.3536168778891</v>
      </c>
      <c r="G146" s="2">
        <v>72.915068513794381</v>
      </c>
      <c r="H146" s="3">
        <v>0.45037060000000001</v>
      </c>
      <c r="I146" s="3">
        <v>0.48723270000000002</v>
      </c>
      <c r="J146" s="3">
        <v>0.28663250000000001</v>
      </c>
      <c r="K146" s="3">
        <v>90.361309970471581</v>
      </c>
      <c r="L146" s="3">
        <v>86.689385941548224</v>
      </c>
      <c r="M146" s="3">
        <v>58.935748657086911</v>
      </c>
      <c r="N146" s="3">
        <v>122.11</v>
      </c>
      <c r="O146" s="3">
        <v>310.51</v>
      </c>
      <c r="P146" s="3">
        <v>139.27000000000001</v>
      </c>
      <c r="Q146" s="3">
        <v>32.333333333333343</v>
      </c>
      <c r="R146" s="3">
        <v>32.416666666666671</v>
      </c>
      <c r="S146" s="3">
        <v>35.673333333333332</v>
      </c>
      <c r="T146" s="3">
        <v>4525</v>
      </c>
      <c r="U146" s="3">
        <v>1800</v>
      </c>
      <c r="V146" s="3">
        <v>4450</v>
      </c>
    </row>
    <row r="147" spans="1:22" x14ac:dyDescent="0.25">
      <c r="A147" s="3">
        <v>2</v>
      </c>
      <c r="B147" s="3">
        <v>2013</v>
      </c>
      <c r="C147" s="2">
        <v>-0.28999999999999998</v>
      </c>
      <c r="D147" t="str">
        <f>IF(C147&gt;=0.5,"El Niño",IF(C147&lt;=-0.5,"La Niña","Neutro"))</f>
        <v>Neutro</v>
      </c>
      <c r="E147" s="2">
        <v>143.63438327595981</v>
      </c>
      <c r="F147" s="2">
        <v>157.8854794222035</v>
      </c>
      <c r="G147" s="2">
        <v>117.6319750128998</v>
      </c>
      <c r="H147" s="3">
        <v>0.44659939999999998</v>
      </c>
      <c r="I147" s="3">
        <v>0.53260459999999998</v>
      </c>
      <c r="J147" s="3">
        <v>0.3149498</v>
      </c>
      <c r="K147" s="3">
        <v>110.46452944558681</v>
      </c>
      <c r="L147" s="3">
        <v>132.59040795983759</v>
      </c>
      <c r="M147" s="3">
        <v>82.856111603963214</v>
      </c>
      <c r="N147" s="3">
        <v>44.44</v>
      </c>
      <c r="O147" s="3">
        <v>56.14</v>
      </c>
      <c r="P147" s="3">
        <v>11.88</v>
      </c>
      <c r="Q147" s="3">
        <v>32.207500000000003</v>
      </c>
      <c r="R147" s="3">
        <v>31.897500000000001</v>
      </c>
      <c r="S147" s="3">
        <v>33.555</v>
      </c>
      <c r="T147" s="3">
        <v>5525</v>
      </c>
      <c r="U147" s="3">
        <v>13500</v>
      </c>
      <c r="V147" s="3">
        <v>2125</v>
      </c>
    </row>
    <row r="148" spans="1:22" x14ac:dyDescent="0.25">
      <c r="A148" s="3">
        <v>3</v>
      </c>
      <c r="B148" s="3">
        <v>2013</v>
      </c>
      <c r="C148" s="2">
        <v>-0.21</v>
      </c>
      <c r="D148" t="str">
        <f>IF(C148&gt;=0.5,"El Niño",IF(C148&lt;=-0.5,"La Niña","Neutro"))</f>
        <v>Neutro</v>
      </c>
      <c r="E148" s="2">
        <v>122.3324496648176</v>
      </c>
      <c r="F148" s="2">
        <v>116.52681459301419</v>
      </c>
      <c r="G148" s="2">
        <v>72.432302090014318</v>
      </c>
      <c r="H148" s="3">
        <v>0.41732780000000003</v>
      </c>
      <c r="I148" s="3">
        <v>0.47381190000000001</v>
      </c>
      <c r="J148" s="3">
        <v>0.22204189999999999</v>
      </c>
      <c r="K148" s="3">
        <v>101.9256135187549</v>
      </c>
      <c r="L148" s="3">
        <v>108.13178910708091</v>
      </c>
      <c r="M148" s="3">
        <v>56.174013855208429</v>
      </c>
      <c r="N148" s="3">
        <v>27.18</v>
      </c>
      <c r="O148" s="3">
        <v>145.22</v>
      </c>
      <c r="P148" s="3">
        <v>42.95</v>
      </c>
      <c r="Q148" s="3">
        <v>34.090000000000003</v>
      </c>
      <c r="R148" s="3">
        <v>32.302500000000002</v>
      </c>
      <c r="S148" s="3">
        <v>35.307499999999997</v>
      </c>
      <c r="T148" s="3">
        <v>10925</v>
      </c>
      <c r="U148" s="3">
        <v>13100</v>
      </c>
      <c r="V148" s="3">
        <v>4550</v>
      </c>
    </row>
    <row r="149" spans="1:22" x14ac:dyDescent="0.25">
      <c r="A149" s="3">
        <v>4</v>
      </c>
      <c r="B149" s="3">
        <v>2013</v>
      </c>
      <c r="C149" s="2">
        <v>-0.19</v>
      </c>
      <c r="D149" t="str">
        <f>IF(C149&gt;=0.5,"El Niño",IF(C149&lt;=-0.5,"La Niña","Neutro"))</f>
        <v>Neutro</v>
      </c>
      <c r="E149" s="2">
        <v>115.6472443342804</v>
      </c>
      <c r="F149" s="2">
        <v>124.32216433585479</v>
      </c>
      <c r="G149" s="2">
        <v>79.445673009688136</v>
      </c>
      <c r="H149" s="3">
        <v>0.54304180000000002</v>
      </c>
      <c r="I149" s="3">
        <v>0.5205805</v>
      </c>
      <c r="J149" s="3">
        <v>0.29888540000000002</v>
      </c>
      <c r="K149" s="3">
        <v>102.9289501330241</v>
      </c>
      <c r="L149" s="3">
        <v>105.77081305439199</v>
      </c>
      <c r="M149" s="3">
        <v>63.28805028981111</v>
      </c>
      <c r="N149" s="3">
        <v>87.58</v>
      </c>
      <c r="O149" s="3">
        <v>110.16</v>
      </c>
      <c r="P149" s="3">
        <v>55.83</v>
      </c>
      <c r="Q149" s="3">
        <v>29.54</v>
      </c>
      <c r="R149" s="3">
        <v>30.36</v>
      </c>
      <c r="S149" s="3">
        <v>31.75</v>
      </c>
      <c r="T149" s="3">
        <v>1225</v>
      </c>
      <c r="U149" s="3">
        <v>5475</v>
      </c>
      <c r="V149" s="3">
        <v>425</v>
      </c>
    </row>
    <row r="150" spans="1:22" x14ac:dyDescent="0.25">
      <c r="A150" s="3">
        <v>5</v>
      </c>
      <c r="B150" s="3">
        <v>2013</v>
      </c>
      <c r="C150" s="2">
        <v>-0.27</v>
      </c>
      <c r="D150" t="str">
        <f>IF(C150&gt;=0.5,"El Niño",IF(C150&lt;=-0.5,"La Niña","Neutro"))</f>
        <v>Neutro</v>
      </c>
      <c r="E150" s="2">
        <v>133.09855383927439</v>
      </c>
      <c r="F150" s="2">
        <v>120.7657644060718</v>
      </c>
      <c r="G150" s="2">
        <v>85.372159986883162</v>
      </c>
      <c r="H150" s="3">
        <v>0.61107199999999995</v>
      </c>
      <c r="I150" s="3">
        <v>0.4059429</v>
      </c>
      <c r="J150" s="3">
        <v>0.28072209999999997</v>
      </c>
      <c r="K150" s="3">
        <v>112.3925695574635</v>
      </c>
      <c r="L150" s="3">
        <v>81.204418387854417</v>
      </c>
      <c r="M150" s="3">
        <v>53.040020770147919</v>
      </c>
      <c r="N150" s="3">
        <v>49.56</v>
      </c>
      <c r="O150" s="3">
        <v>9.77</v>
      </c>
      <c r="P150" s="3">
        <v>15.44</v>
      </c>
      <c r="Q150" s="3">
        <v>27.072500000000002</v>
      </c>
      <c r="R150" s="3">
        <v>31.337499999999999</v>
      </c>
      <c r="S150" s="3">
        <v>32.005000000000003</v>
      </c>
      <c r="T150" s="3">
        <v>2000</v>
      </c>
      <c r="U150" s="3">
        <v>4675</v>
      </c>
      <c r="V150" s="3">
        <v>275</v>
      </c>
    </row>
    <row r="151" spans="1:22" x14ac:dyDescent="0.25">
      <c r="A151" s="3">
        <v>6</v>
      </c>
      <c r="B151" s="3">
        <v>2013</v>
      </c>
      <c r="C151" s="2">
        <v>-0.34</v>
      </c>
      <c r="D151" t="str">
        <f>IF(C151&gt;=0.5,"El Niño",IF(C151&lt;=-0.5,"La Niña","Neutro"))</f>
        <v>Neutro</v>
      </c>
      <c r="E151" s="2">
        <v>129.11795085790499</v>
      </c>
      <c r="F151" s="2">
        <v>98.036875185378747</v>
      </c>
      <c r="G151" s="2">
        <v>77.176200890209145</v>
      </c>
      <c r="H151" s="3">
        <v>0.63932089999999997</v>
      </c>
      <c r="I151" s="3">
        <v>0.32724950000000003</v>
      </c>
      <c r="J151" s="3">
        <v>0.23142940000000001</v>
      </c>
      <c r="K151" s="3">
        <v>101.41188465399119</v>
      </c>
      <c r="L151" s="3">
        <v>61.156193249231222</v>
      </c>
      <c r="M151" s="3">
        <v>40.685833661510522</v>
      </c>
      <c r="N151" s="3">
        <v>94.19</v>
      </c>
      <c r="O151" s="3">
        <v>7.05</v>
      </c>
      <c r="P151" s="3">
        <v>22.54</v>
      </c>
      <c r="Q151" s="3">
        <v>25.785</v>
      </c>
      <c r="R151" s="3">
        <v>30.8475</v>
      </c>
      <c r="S151" s="3">
        <v>31.84</v>
      </c>
      <c r="T151" s="3">
        <v>1725</v>
      </c>
      <c r="U151" s="3">
        <v>17475</v>
      </c>
      <c r="V151" s="3">
        <v>850</v>
      </c>
    </row>
    <row r="152" spans="1:22" x14ac:dyDescent="0.25">
      <c r="A152" s="3">
        <v>7</v>
      </c>
      <c r="B152" s="3">
        <v>2013</v>
      </c>
      <c r="C152" s="2">
        <v>-0.35</v>
      </c>
      <c r="D152" t="str">
        <f>IF(C152&gt;=0.5,"El Niño",IF(C152&lt;=-0.5,"La Niña","Neutro"))</f>
        <v>Neutro</v>
      </c>
      <c r="E152" s="2">
        <v>136.40319242437681</v>
      </c>
      <c r="F152" s="2">
        <v>83.238869911038393</v>
      </c>
      <c r="G152" s="2">
        <v>73.22630396832669</v>
      </c>
      <c r="H152" s="3">
        <v>0.60066059999999999</v>
      </c>
      <c r="I152" s="3">
        <v>0.19519139999999999</v>
      </c>
      <c r="J152" s="3">
        <v>0.1987361</v>
      </c>
      <c r="K152" s="3">
        <v>98.9445988325066</v>
      </c>
      <c r="L152" s="3">
        <v>40.536548705779801</v>
      </c>
      <c r="M152" s="3">
        <v>35.733629909012997</v>
      </c>
      <c r="N152" s="3">
        <v>99.58</v>
      </c>
      <c r="O152" s="3">
        <v>1</v>
      </c>
      <c r="P152" s="3">
        <v>33.14</v>
      </c>
      <c r="Q152" s="3">
        <v>25.892499999999998</v>
      </c>
      <c r="R152" s="3">
        <v>32.125</v>
      </c>
      <c r="S152" s="3">
        <v>32.119999999999997</v>
      </c>
      <c r="T152" s="3">
        <v>4275</v>
      </c>
      <c r="U152" s="3">
        <v>19450</v>
      </c>
      <c r="V152" s="3">
        <v>1700</v>
      </c>
    </row>
    <row r="153" spans="1:22" x14ac:dyDescent="0.25">
      <c r="A153" s="3">
        <v>8</v>
      </c>
      <c r="B153" s="3">
        <v>2013</v>
      </c>
      <c r="C153" s="2">
        <v>-0.28000000000000003</v>
      </c>
      <c r="D153" t="str">
        <f>IF(C153&gt;=0.5,"El Niño",IF(C153&lt;=-0.5,"La Niña","Neutro"))</f>
        <v>Neutro</v>
      </c>
      <c r="E153" s="2">
        <v>147.14138856871921</v>
      </c>
      <c r="F153" s="2">
        <v>65.388406741631982</v>
      </c>
      <c r="G153" s="2">
        <v>68.805345534728289</v>
      </c>
      <c r="H153" s="3">
        <v>0.56081879999999995</v>
      </c>
      <c r="I153" s="3">
        <v>0.13431489999999999</v>
      </c>
      <c r="J153" s="3">
        <v>0.16813259999999999</v>
      </c>
      <c r="K153" s="3">
        <v>99.018634286104103</v>
      </c>
      <c r="L153" s="3">
        <v>31.704562055578421</v>
      </c>
      <c r="M153" s="3">
        <v>33.794415519956289</v>
      </c>
      <c r="N153" s="3">
        <v>99.93</v>
      </c>
      <c r="O153" s="3">
        <v>0.85</v>
      </c>
      <c r="P153" s="3">
        <v>20.190000000000001</v>
      </c>
      <c r="Q153" s="3">
        <v>27.55</v>
      </c>
      <c r="R153" s="3">
        <v>34.5625</v>
      </c>
      <c r="S153" s="3">
        <v>34.342500000000001</v>
      </c>
      <c r="T153" s="3">
        <v>900</v>
      </c>
      <c r="U153" s="3">
        <v>42225</v>
      </c>
      <c r="V153" s="3">
        <v>1100</v>
      </c>
    </row>
    <row r="154" spans="1:22" x14ac:dyDescent="0.25">
      <c r="A154" s="3">
        <v>9</v>
      </c>
      <c r="B154" s="3">
        <v>2013</v>
      </c>
      <c r="C154" s="2">
        <v>-0.21</v>
      </c>
      <c r="D154" t="str">
        <f>IF(C154&gt;=0.5,"El Niño",IF(C154&lt;=-0.5,"La Niña","Neutro"))</f>
        <v>Neutro</v>
      </c>
      <c r="E154" s="2">
        <v>147.4729147954404</v>
      </c>
      <c r="F154" s="2">
        <v>32.744715873666031</v>
      </c>
      <c r="G154" s="2">
        <v>47.936465240370943</v>
      </c>
      <c r="H154" s="3">
        <v>0.47325630000000002</v>
      </c>
      <c r="I154" s="3">
        <v>9.6701510000000004E-2</v>
      </c>
      <c r="J154" s="3">
        <v>0.1068291</v>
      </c>
      <c r="K154" s="3">
        <v>101.8541617533841</v>
      </c>
      <c r="L154" s="3">
        <v>25.331721712390131</v>
      </c>
      <c r="M154" s="3">
        <v>25.414998893344329</v>
      </c>
      <c r="N154" s="3">
        <v>76.44</v>
      </c>
      <c r="O154" s="3">
        <v>7.3</v>
      </c>
      <c r="P154" s="3">
        <v>12.47</v>
      </c>
      <c r="Q154" s="3">
        <v>30.322500000000002</v>
      </c>
      <c r="R154" s="3">
        <v>39.542499999999997</v>
      </c>
      <c r="S154" s="3">
        <v>38.159999999999997</v>
      </c>
      <c r="T154" s="3">
        <v>4025</v>
      </c>
      <c r="U154" s="3">
        <v>145950</v>
      </c>
      <c r="V154" s="3">
        <v>47275</v>
      </c>
    </row>
    <row r="155" spans="1:22" x14ac:dyDescent="0.25">
      <c r="A155" s="3">
        <v>10</v>
      </c>
      <c r="B155" s="3">
        <v>2013</v>
      </c>
      <c r="C155" s="2">
        <v>-0.13</v>
      </c>
      <c r="D155" t="str">
        <f>IF(C155&gt;=0.5,"El Niño",IF(C155&lt;=-0.5,"La Niña","Neutro"))</f>
        <v>Neutro</v>
      </c>
      <c r="E155" s="2">
        <v>142.82787025222521</v>
      </c>
      <c r="F155" s="2">
        <v>64.905406703295142</v>
      </c>
      <c r="G155" s="2">
        <v>52.352668577931873</v>
      </c>
      <c r="H155" s="3">
        <v>0.48049700000000001</v>
      </c>
      <c r="I155" s="3">
        <v>0.2094009</v>
      </c>
      <c r="J155" s="3">
        <v>0.13036880000000001</v>
      </c>
      <c r="K155" s="3">
        <v>103.50587449933241</v>
      </c>
      <c r="L155" s="3">
        <v>49.732309700799853</v>
      </c>
      <c r="M155" s="3">
        <v>31.653435788942971</v>
      </c>
      <c r="N155" s="3">
        <v>97.06</v>
      </c>
      <c r="O155" s="3">
        <v>73.84</v>
      </c>
      <c r="P155" s="3">
        <v>39.92</v>
      </c>
      <c r="Q155" s="3">
        <v>30.947500000000002</v>
      </c>
      <c r="R155" s="3">
        <v>38.497500000000002</v>
      </c>
      <c r="S155" s="3">
        <v>38.69</v>
      </c>
      <c r="T155" s="3">
        <v>3250</v>
      </c>
      <c r="U155" s="3">
        <v>117200</v>
      </c>
      <c r="V155" s="3">
        <v>27900</v>
      </c>
    </row>
    <row r="156" spans="1:22" x14ac:dyDescent="0.25">
      <c r="A156" s="3">
        <v>11</v>
      </c>
      <c r="B156" s="3">
        <v>2013</v>
      </c>
      <c r="C156" s="2">
        <v>-0.1</v>
      </c>
      <c r="D156" t="str">
        <f>IF(C156&gt;=0.5,"El Niño",IF(C156&lt;=-0.5,"La Niña","Neutro"))</f>
        <v>Neutro</v>
      </c>
      <c r="E156" s="2">
        <v>140.9087054905151</v>
      </c>
      <c r="F156" s="2">
        <v>91.173006030988262</v>
      </c>
      <c r="G156" s="2">
        <v>60.812523509044347</v>
      </c>
      <c r="H156" s="3">
        <v>0.4861509</v>
      </c>
      <c r="I156" s="3">
        <v>0.34975109999999998</v>
      </c>
      <c r="J156" s="3">
        <v>0.2063651</v>
      </c>
      <c r="K156" s="3">
        <v>115.93294280451789</v>
      </c>
      <c r="L156" s="3">
        <v>80.486698426919133</v>
      </c>
      <c r="M156" s="3">
        <v>48.590237367088243</v>
      </c>
      <c r="N156" s="3">
        <v>138.52000000000001</v>
      </c>
      <c r="O156" s="3">
        <v>184.23</v>
      </c>
      <c r="P156" s="3">
        <v>92.14</v>
      </c>
      <c r="Q156" s="3">
        <v>32.43</v>
      </c>
      <c r="R156" s="3">
        <v>35.857500000000002</v>
      </c>
      <c r="S156" s="3">
        <v>37.049999999999997</v>
      </c>
      <c r="T156" s="3">
        <v>325</v>
      </c>
      <c r="U156" s="3">
        <v>7775</v>
      </c>
      <c r="V156" s="3">
        <v>3400</v>
      </c>
    </row>
    <row r="157" spans="1:22" x14ac:dyDescent="0.25">
      <c r="A157" s="3">
        <v>12</v>
      </c>
      <c r="B157" s="3">
        <v>2013</v>
      </c>
      <c r="C157" s="2">
        <v>-0.15</v>
      </c>
      <c r="D157" t="str">
        <f>IF(C157&gt;=0.5,"El Niño",IF(C157&lt;=-0.5,"La Niña","Neutro"))</f>
        <v>Neutro</v>
      </c>
      <c r="E157" s="2">
        <v>100.8188286155946</v>
      </c>
      <c r="F157" s="2">
        <v>93.252152814629341</v>
      </c>
      <c r="G157" s="2">
        <v>75.873574990234701</v>
      </c>
      <c r="H157" s="3">
        <v>0.60865239999999998</v>
      </c>
      <c r="I157" s="3">
        <v>0.62386640000000004</v>
      </c>
      <c r="J157" s="3">
        <v>0.44144919999999999</v>
      </c>
      <c r="K157" s="3">
        <v>100.6752514788574</v>
      </c>
      <c r="L157" s="3">
        <v>91.731905332655344</v>
      </c>
      <c r="M157" s="3">
        <v>74.138538756167279</v>
      </c>
      <c r="N157" s="3">
        <v>209.16</v>
      </c>
      <c r="O157" s="3">
        <v>331.66</v>
      </c>
      <c r="P157" s="3">
        <v>217.16</v>
      </c>
      <c r="Q157" s="3">
        <v>31.747499999999999</v>
      </c>
      <c r="R157" s="3">
        <v>32.362499999999997</v>
      </c>
      <c r="S157" s="3">
        <v>34.067500000000003</v>
      </c>
      <c r="T157" s="3">
        <v>75</v>
      </c>
      <c r="U157" s="3">
        <v>1675</v>
      </c>
      <c r="V157" s="3">
        <v>200</v>
      </c>
    </row>
    <row r="158" spans="1:22" x14ac:dyDescent="0.25">
      <c r="A158" s="3">
        <v>1</v>
      </c>
      <c r="B158" s="3">
        <v>2014</v>
      </c>
      <c r="C158" s="2">
        <v>-0.28000000000000003</v>
      </c>
      <c r="D158" t="str">
        <f>IF(C158&gt;=0.5,"El Niño",IF(C158&lt;=-0.5,"La Niña","Neutro"))</f>
        <v>Neutro</v>
      </c>
      <c r="E158" s="2">
        <v>167.01035056339171</v>
      </c>
      <c r="F158" s="2">
        <v>139.3064593518655</v>
      </c>
      <c r="G158" s="2">
        <v>134.65635570028019</v>
      </c>
      <c r="H158" s="3">
        <v>0.56849689999999997</v>
      </c>
      <c r="I158" s="3">
        <v>0.5502205</v>
      </c>
      <c r="J158" s="3">
        <v>0.43311060000000001</v>
      </c>
      <c r="K158" s="3">
        <v>124.30776022531261</v>
      </c>
      <c r="L158" s="3">
        <v>112.33366223556661</v>
      </c>
      <c r="M158" s="3">
        <v>96.767613887533628</v>
      </c>
      <c r="N158" s="3">
        <v>56.71</v>
      </c>
      <c r="O158" s="3">
        <v>59.63</v>
      </c>
      <c r="P158" s="3">
        <v>14.74</v>
      </c>
      <c r="Q158" s="3">
        <v>30.583333333333329</v>
      </c>
      <c r="R158" s="3">
        <v>32.923333333333318</v>
      </c>
      <c r="S158" s="3">
        <v>31.966666666666669</v>
      </c>
      <c r="T158" s="3">
        <v>375</v>
      </c>
      <c r="U158" s="3">
        <v>3575</v>
      </c>
      <c r="V158" s="3">
        <v>800</v>
      </c>
    </row>
    <row r="159" spans="1:22" x14ac:dyDescent="0.25">
      <c r="A159" s="3">
        <v>2</v>
      </c>
      <c r="B159" s="3">
        <v>2014</v>
      </c>
      <c r="C159" s="2">
        <v>-0.32</v>
      </c>
      <c r="D159" t="str">
        <f>IF(C159&gt;=0.5,"El Niño",IF(C159&lt;=-0.5,"La Niña","Neutro"))</f>
        <v>Neutro</v>
      </c>
      <c r="E159" s="2">
        <v>175.80018773297971</v>
      </c>
      <c r="F159" s="2">
        <v>144.7044535287032</v>
      </c>
      <c r="G159" s="2">
        <v>126.26682421745021</v>
      </c>
      <c r="H159" s="3">
        <v>0.51857589999999998</v>
      </c>
      <c r="I159" s="3">
        <v>0.56680260000000005</v>
      </c>
      <c r="J159" s="3">
        <v>0.35438190000000003</v>
      </c>
      <c r="K159" s="3">
        <v>126.0371200530147</v>
      </c>
      <c r="L159" s="3">
        <v>117.7624577269829</v>
      </c>
      <c r="M159" s="3">
        <v>82.197057079912597</v>
      </c>
      <c r="N159" s="3">
        <v>81.599999999999994</v>
      </c>
      <c r="O159" s="3">
        <v>104.01</v>
      </c>
      <c r="P159" s="3">
        <v>54.72</v>
      </c>
      <c r="Q159" s="3">
        <v>29.982500000000002</v>
      </c>
      <c r="R159" s="3">
        <v>30.805</v>
      </c>
      <c r="S159" s="3">
        <v>32.647500000000001</v>
      </c>
      <c r="T159" s="3">
        <v>150</v>
      </c>
      <c r="U159" s="3">
        <v>2425</v>
      </c>
      <c r="V159" s="3">
        <v>50</v>
      </c>
    </row>
    <row r="160" spans="1:22" x14ac:dyDescent="0.25">
      <c r="A160" s="3">
        <v>3</v>
      </c>
      <c r="B160" s="3">
        <v>2014</v>
      </c>
      <c r="C160" s="2">
        <v>-0.14000000000000001</v>
      </c>
      <c r="D160" t="str">
        <f>IF(C160&gt;=0.5,"El Niño",IF(C160&lt;=-0.5,"La Niña","Neutro"))</f>
        <v>Neutro</v>
      </c>
      <c r="E160" s="2">
        <v>147.84796076496369</v>
      </c>
      <c r="F160" s="2">
        <v>133.1873583302899</v>
      </c>
      <c r="G160" s="2">
        <v>115.94638647904441</v>
      </c>
      <c r="H160" s="3">
        <v>0.54803670000000004</v>
      </c>
      <c r="I160" s="3">
        <v>0.63396319999999995</v>
      </c>
      <c r="J160" s="3">
        <v>0.38705460000000003</v>
      </c>
      <c r="K160" s="3">
        <v>111.05032032978281</v>
      </c>
      <c r="L160" s="3">
        <v>124.1819656650282</v>
      </c>
      <c r="M160" s="3">
        <v>82.605051536381836</v>
      </c>
      <c r="N160" s="3">
        <v>109</v>
      </c>
      <c r="O160" s="3">
        <v>159.9</v>
      </c>
      <c r="P160" s="3">
        <v>67.33</v>
      </c>
      <c r="Q160" s="3">
        <v>29.622499999999999</v>
      </c>
      <c r="R160" s="3">
        <v>30.552499999999998</v>
      </c>
      <c r="S160" s="3">
        <v>32.087499999999999</v>
      </c>
      <c r="T160" s="3">
        <v>225</v>
      </c>
      <c r="U160" s="3">
        <v>10125</v>
      </c>
      <c r="V160" s="3">
        <v>350</v>
      </c>
    </row>
    <row r="161" spans="1:22" x14ac:dyDescent="0.25">
      <c r="A161" s="3">
        <v>4</v>
      </c>
      <c r="B161" s="3">
        <v>2014</v>
      </c>
      <c r="C161" s="2">
        <v>0.15</v>
      </c>
      <c r="D161" t="str">
        <f>IF(C161&gt;=0.5,"El Niño",IF(C161&lt;=-0.5,"La Niña","Neutro"))</f>
        <v>Neutro</v>
      </c>
      <c r="E161" s="2">
        <v>129.05549610463709</v>
      </c>
      <c r="F161" s="2">
        <v>138.79655190503769</v>
      </c>
      <c r="G161" s="2">
        <v>108.9511121586366</v>
      </c>
      <c r="H161" s="3">
        <v>0.53065629999999997</v>
      </c>
      <c r="I161" s="3">
        <v>0.54988579999999998</v>
      </c>
      <c r="J161" s="3">
        <v>0.37812699999999999</v>
      </c>
      <c r="K161" s="3">
        <v>115.1317513375498</v>
      </c>
      <c r="L161" s="3">
        <v>118.13953203063831</v>
      </c>
      <c r="M161" s="3">
        <v>83.605113774455745</v>
      </c>
      <c r="N161" s="3">
        <v>54.74</v>
      </c>
      <c r="O161" s="3">
        <v>96.42</v>
      </c>
      <c r="P161" s="3">
        <v>90.61</v>
      </c>
      <c r="Q161" s="3">
        <v>28.86</v>
      </c>
      <c r="R161" s="3">
        <v>30.342500000000008</v>
      </c>
      <c r="S161" s="3">
        <v>31.5425</v>
      </c>
      <c r="T161" s="3">
        <v>575</v>
      </c>
      <c r="U161" s="3">
        <v>13725</v>
      </c>
      <c r="V161" s="3">
        <v>400</v>
      </c>
    </row>
    <row r="162" spans="1:22" x14ac:dyDescent="0.25">
      <c r="A162" s="3">
        <v>5</v>
      </c>
      <c r="B162" s="3">
        <v>2014</v>
      </c>
      <c r="C162" s="2">
        <v>0.31</v>
      </c>
      <c r="D162" t="str">
        <f>IF(C162&gt;=0.5,"El Niño",IF(C162&lt;=-0.5,"La Niña","Neutro"))</f>
        <v>Neutro</v>
      </c>
      <c r="E162" s="2">
        <v>127.00247715015939</v>
      </c>
      <c r="F162" s="2">
        <v>140.93090291299359</v>
      </c>
      <c r="G162" s="2">
        <v>110.2552118345735</v>
      </c>
      <c r="H162" s="3">
        <v>0.5761001</v>
      </c>
      <c r="I162" s="3">
        <v>0.50887550000000004</v>
      </c>
      <c r="J162" s="3">
        <v>0.34623029999999999</v>
      </c>
      <c r="K162" s="3">
        <v>105.7207718320291</v>
      </c>
      <c r="L162" s="3">
        <v>99.758414045537819</v>
      </c>
      <c r="M162" s="3">
        <v>68.302175317175966</v>
      </c>
      <c r="N162" s="3">
        <v>65.849999999999994</v>
      </c>
      <c r="O162" s="3">
        <v>19.86</v>
      </c>
      <c r="P162" s="3">
        <v>29.9</v>
      </c>
      <c r="Q162" s="3">
        <v>27.442499999999999</v>
      </c>
      <c r="R162" s="3">
        <v>29.822500000000002</v>
      </c>
      <c r="S162" s="3">
        <v>30.447500000000002</v>
      </c>
      <c r="T162" s="3">
        <v>3525</v>
      </c>
      <c r="U162" s="3">
        <v>3900</v>
      </c>
      <c r="V162" s="3">
        <v>225</v>
      </c>
    </row>
    <row r="163" spans="1:22" x14ac:dyDescent="0.25">
      <c r="A163" s="3">
        <v>6</v>
      </c>
      <c r="B163" s="3">
        <v>2014</v>
      </c>
      <c r="C163" s="2">
        <v>0.23</v>
      </c>
      <c r="D163" t="str">
        <f>IF(C163&gt;=0.5,"El Niño",IF(C163&lt;=-0.5,"La Niña","Neutro"))</f>
        <v>Neutro</v>
      </c>
      <c r="E163" s="2">
        <v>123.03846907031701</v>
      </c>
      <c r="F163" s="2">
        <v>117.15467457077889</v>
      </c>
      <c r="G163" s="2">
        <v>88.948183534506455</v>
      </c>
      <c r="H163" s="3">
        <v>0.61722259999999995</v>
      </c>
      <c r="I163" s="3">
        <v>0.36867</v>
      </c>
      <c r="J163" s="3">
        <v>0.25924570000000002</v>
      </c>
      <c r="K163" s="3">
        <v>92.823159443735193</v>
      </c>
      <c r="L163" s="3">
        <v>68.359107161593911</v>
      </c>
      <c r="M163" s="3">
        <v>46.136267006161688</v>
      </c>
      <c r="N163" s="3">
        <v>100.21</v>
      </c>
      <c r="O163" s="3">
        <v>2.33</v>
      </c>
      <c r="P163" s="3">
        <v>16.829999999999998</v>
      </c>
      <c r="Q163" s="3">
        <v>25.76</v>
      </c>
      <c r="R163" s="3">
        <v>30.072500000000002</v>
      </c>
      <c r="S163" s="3">
        <v>30.59</v>
      </c>
      <c r="T163" s="3">
        <v>725</v>
      </c>
      <c r="U163" s="3">
        <v>11250</v>
      </c>
      <c r="V163" s="3">
        <v>100</v>
      </c>
    </row>
    <row r="164" spans="1:22" x14ac:dyDescent="0.25">
      <c r="A164" s="3">
        <v>7</v>
      </c>
      <c r="B164" s="3">
        <v>2014</v>
      </c>
      <c r="C164" s="2">
        <v>0.1</v>
      </c>
      <c r="D164" t="str">
        <f>IF(C164&gt;=0.5,"El Niño",IF(C164&lt;=-0.5,"La Niña","Neutro"))</f>
        <v>Neutro</v>
      </c>
      <c r="E164" s="2">
        <v>130.09694307488891</v>
      </c>
      <c r="F164" s="2">
        <v>95.431727961873008</v>
      </c>
      <c r="G164" s="2">
        <v>77.016546027092062</v>
      </c>
      <c r="H164" s="3">
        <v>0.60056350000000003</v>
      </c>
      <c r="I164" s="3">
        <v>0.26496229999999998</v>
      </c>
      <c r="J164" s="3">
        <v>0.22286439999999999</v>
      </c>
      <c r="K164" s="3">
        <v>91.331092356718926</v>
      </c>
      <c r="L164" s="3">
        <v>50.23981775184226</v>
      </c>
      <c r="M164" s="3">
        <v>38.409663486212636</v>
      </c>
      <c r="N164" s="3">
        <v>122.74</v>
      </c>
      <c r="O164" s="3">
        <v>0.28000000000000003</v>
      </c>
      <c r="P164" s="3">
        <v>32.729999999999997</v>
      </c>
      <c r="Q164" s="3">
        <v>25.4925</v>
      </c>
      <c r="R164" s="3">
        <v>30.872499999999999</v>
      </c>
      <c r="S164" s="3">
        <v>31.357500000000002</v>
      </c>
      <c r="T164" s="3">
        <v>0</v>
      </c>
      <c r="U164" s="3">
        <v>14525</v>
      </c>
      <c r="V164" s="3">
        <v>1100</v>
      </c>
    </row>
    <row r="165" spans="1:22" x14ac:dyDescent="0.25">
      <c r="A165" s="3">
        <v>8</v>
      </c>
      <c r="B165" s="3">
        <v>2014</v>
      </c>
      <c r="C165" s="2">
        <v>0.11</v>
      </c>
      <c r="D165" t="str">
        <f>IF(C165&gt;=0.5,"El Niño",IF(C165&lt;=-0.5,"La Niña","Neutro"))</f>
        <v>Neutro</v>
      </c>
      <c r="E165" s="2">
        <v>148.8024376375713</v>
      </c>
      <c r="F165" s="2">
        <v>72.234359280639708</v>
      </c>
      <c r="G165" s="2">
        <v>70.557843340550818</v>
      </c>
      <c r="H165" s="3">
        <v>0.50069249999999998</v>
      </c>
      <c r="I165" s="3">
        <v>0.13340959999999999</v>
      </c>
      <c r="J165" s="3">
        <v>0.15766839999999999</v>
      </c>
      <c r="K165" s="3">
        <v>95.706791926948839</v>
      </c>
      <c r="L165" s="3">
        <v>32.169606810495807</v>
      </c>
      <c r="M165" s="3">
        <v>33.571475904758863</v>
      </c>
      <c r="N165" s="3">
        <v>40.130000000000003</v>
      </c>
      <c r="O165" s="3">
        <v>0.36</v>
      </c>
      <c r="P165" s="3">
        <v>11.64</v>
      </c>
      <c r="Q165" s="3">
        <v>27.522500000000001</v>
      </c>
      <c r="R165" s="3">
        <v>35.22</v>
      </c>
      <c r="S165" s="3">
        <v>33.700000000000003</v>
      </c>
      <c r="T165" s="3">
        <v>500</v>
      </c>
      <c r="U165" s="3">
        <v>39350</v>
      </c>
      <c r="V165" s="3">
        <v>5475</v>
      </c>
    </row>
    <row r="166" spans="1:22" x14ac:dyDescent="0.25">
      <c r="A166" s="3">
        <v>9</v>
      </c>
      <c r="B166" s="3">
        <v>2014</v>
      </c>
      <c r="C166" s="2">
        <v>0.28000000000000003</v>
      </c>
      <c r="D166" t="str">
        <f>IF(C166&gt;=0.5,"El Niño",IF(C166&lt;=-0.5,"La Niña","Neutro"))</f>
        <v>Neutro</v>
      </c>
      <c r="E166" s="2">
        <v>134.26921892286759</v>
      </c>
      <c r="F166" s="2">
        <v>52.939661869182643</v>
      </c>
      <c r="G166" s="2">
        <v>58.079792288551211</v>
      </c>
      <c r="H166" s="3">
        <v>0.42185089999999997</v>
      </c>
      <c r="I166" s="3">
        <v>0.1042052</v>
      </c>
      <c r="J166" s="3">
        <v>0.1135989</v>
      </c>
      <c r="K166" s="3">
        <v>86.006704218763716</v>
      </c>
      <c r="L166" s="3">
        <v>28.447741067176771</v>
      </c>
      <c r="M166" s="3">
        <v>27.204053495795609</v>
      </c>
      <c r="N166" s="3">
        <v>36.28</v>
      </c>
      <c r="O166" s="3">
        <v>6.41</v>
      </c>
      <c r="P166" s="3">
        <v>13.52</v>
      </c>
      <c r="Q166" s="3">
        <v>31.202500000000001</v>
      </c>
      <c r="R166" s="3">
        <v>39.119999999999997</v>
      </c>
      <c r="S166" s="3">
        <v>37.467500000000001</v>
      </c>
      <c r="T166" s="3">
        <v>13400</v>
      </c>
      <c r="U166" s="3">
        <v>256650</v>
      </c>
      <c r="V166" s="3">
        <v>296550</v>
      </c>
    </row>
    <row r="167" spans="1:22" x14ac:dyDescent="0.25">
      <c r="A167" s="3">
        <v>10</v>
      </c>
      <c r="B167" s="3">
        <v>2014</v>
      </c>
      <c r="C167" s="2">
        <v>0.54</v>
      </c>
      <c r="D167" t="str">
        <f>IF(C167&gt;=0.5,"El Niño",IF(C167&lt;=-0.5,"La Niña","Neutro"))</f>
        <v>El Niño</v>
      </c>
      <c r="E167" s="2">
        <v>131.90589257972869</v>
      </c>
      <c r="F167" s="2">
        <v>49.863548940995592</v>
      </c>
      <c r="G167" s="2">
        <v>47.418497880569227</v>
      </c>
      <c r="H167" s="3">
        <v>0.4196897</v>
      </c>
      <c r="I167" s="3">
        <v>0.1550057</v>
      </c>
      <c r="J167" s="3">
        <v>0.11065800000000001</v>
      </c>
      <c r="K167" s="3">
        <v>86.881598043132939</v>
      </c>
      <c r="L167" s="3">
        <v>39.325661234735307</v>
      </c>
      <c r="M167" s="3">
        <v>27.00430630781673</v>
      </c>
      <c r="N167" s="3">
        <v>93.47</v>
      </c>
      <c r="O167" s="3">
        <v>65.16</v>
      </c>
      <c r="P167" s="3">
        <v>33.71</v>
      </c>
      <c r="Q167" s="3">
        <v>33.695</v>
      </c>
      <c r="R167" s="3">
        <v>40.869999999999997</v>
      </c>
      <c r="S167" s="3">
        <v>39.86</v>
      </c>
      <c r="T167" s="3">
        <v>12250</v>
      </c>
      <c r="U167" s="3">
        <v>456450</v>
      </c>
      <c r="V167" s="3">
        <v>31350</v>
      </c>
    </row>
    <row r="168" spans="1:22" x14ac:dyDescent="0.25">
      <c r="A168" s="3">
        <v>11</v>
      </c>
      <c r="B168" s="3">
        <v>2014</v>
      </c>
      <c r="C168" s="2">
        <v>0.71</v>
      </c>
      <c r="D168" t="str">
        <f>IF(C168&gt;=0.5,"El Niño",IF(C168&lt;=-0.5,"La Niña","Neutro"))</f>
        <v>El Niño</v>
      </c>
      <c r="E168" s="2">
        <v>139.95864419781739</v>
      </c>
      <c r="F168" s="2">
        <v>97.081291224700223</v>
      </c>
      <c r="G168" s="2">
        <v>96.917325623170512</v>
      </c>
      <c r="H168" s="3">
        <v>0.54266610000000004</v>
      </c>
      <c r="I168" s="3">
        <v>0.46128019999999997</v>
      </c>
      <c r="J168" s="3">
        <v>0.33992810000000001</v>
      </c>
      <c r="K168" s="3">
        <v>107.2122015729001</v>
      </c>
      <c r="L168" s="3">
        <v>88.009185250651754</v>
      </c>
      <c r="M168" s="3">
        <v>73.190084666697629</v>
      </c>
      <c r="N168" s="3">
        <v>145.76</v>
      </c>
      <c r="O168" s="3">
        <v>218.17</v>
      </c>
      <c r="P168" s="3">
        <v>140.96</v>
      </c>
      <c r="Q168" s="3">
        <v>32.942500000000003</v>
      </c>
      <c r="R168" s="3">
        <v>35.115000000000002</v>
      </c>
      <c r="S168" s="3">
        <v>34.65</v>
      </c>
      <c r="T168" s="3">
        <v>1325</v>
      </c>
      <c r="U168" s="3">
        <v>45825</v>
      </c>
      <c r="V168" s="3">
        <v>2325</v>
      </c>
    </row>
    <row r="169" spans="1:22" x14ac:dyDescent="0.25">
      <c r="A169" s="3">
        <v>12</v>
      </c>
      <c r="B169" s="3">
        <v>2014</v>
      </c>
      <c r="C169" s="2">
        <v>0.77</v>
      </c>
      <c r="D169" t="str">
        <f>IF(C169&gt;=0.5,"El Niño",IF(C169&lt;=-0.5,"La Niña","Neutro"))</f>
        <v>El Niño</v>
      </c>
      <c r="E169" s="2">
        <v>142.21414145892041</v>
      </c>
      <c r="F169" s="2">
        <v>114.0494607622572</v>
      </c>
      <c r="G169" s="2">
        <v>110.78550112843411</v>
      </c>
      <c r="H169" s="3">
        <v>0.52117800000000003</v>
      </c>
      <c r="I169" s="3">
        <v>0.52251389999999998</v>
      </c>
      <c r="J169" s="3">
        <v>0.39595770000000002</v>
      </c>
      <c r="K169" s="3">
        <v>107.63343572451831</v>
      </c>
      <c r="L169" s="3">
        <v>94.61579457129713</v>
      </c>
      <c r="M169" s="3">
        <v>82.014762967622318</v>
      </c>
      <c r="N169" s="3">
        <v>148.52000000000001</v>
      </c>
      <c r="O169" s="3">
        <v>202.25</v>
      </c>
      <c r="P169" s="3">
        <v>120.86</v>
      </c>
      <c r="Q169" s="3">
        <v>30.875</v>
      </c>
      <c r="R169" s="3">
        <v>33.547499999999999</v>
      </c>
      <c r="S169" s="3">
        <v>32.295000000000002</v>
      </c>
      <c r="T169" s="3">
        <v>1500</v>
      </c>
      <c r="U169" s="3">
        <v>36450</v>
      </c>
      <c r="V169" s="3">
        <v>10000</v>
      </c>
    </row>
    <row r="170" spans="1:22" x14ac:dyDescent="0.25">
      <c r="A170" s="3">
        <v>1</v>
      </c>
      <c r="B170" s="3">
        <v>2015</v>
      </c>
      <c r="C170" s="2">
        <v>0.69</v>
      </c>
      <c r="D170" t="str">
        <f>IF(C170&gt;=0.5,"El Niño",IF(C170&lt;=-0.5,"La Niña","Neutro"))</f>
        <v>El Niño</v>
      </c>
      <c r="E170" s="2">
        <v>142.75729460200219</v>
      </c>
      <c r="F170" s="2">
        <v>134.92650910903191</v>
      </c>
      <c r="G170" s="2">
        <v>102.37244034730691</v>
      </c>
      <c r="H170" s="3">
        <v>0.45304260000000002</v>
      </c>
      <c r="I170" s="3">
        <v>0.42705409999999999</v>
      </c>
      <c r="J170" s="3">
        <v>0.3415261</v>
      </c>
      <c r="K170" s="3">
        <v>106.9914028436943</v>
      </c>
      <c r="L170" s="3">
        <v>100.3992283913251</v>
      </c>
      <c r="M170" s="3">
        <v>81.315312013576587</v>
      </c>
      <c r="N170" s="3">
        <v>33.18</v>
      </c>
      <c r="O170" s="3">
        <v>74.709999999999994</v>
      </c>
      <c r="P170" s="3">
        <v>19.55</v>
      </c>
      <c r="Q170" s="3">
        <v>31.758579999999998</v>
      </c>
      <c r="R170" s="3">
        <v>34.593333333333327</v>
      </c>
      <c r="S170" s="3">
        <v>33.423333333333339</v>
      </c>
      <c r="T170" s="3">
        <v>2225</v>
      </c>
      <c r="U170" s="3">
        <v>16500</v>
      </c>
      <c r="V170" s="3">
        <v>4025</v>
      </c>
    </row>
    <row r="171" spans="1:22" x14ac:dyDescent="0.25">
      <c r="A171" s="3">
        <v>2</v>
      </c>
      <c r="B171" s="3">
        <v>2015</v>
      </c>
      <c r="C171" s="2">
        <v>0.61</v>
      </c>
      <c r="D171" t="str">
        <f>IF(C171&gt;=0.5,"El Niño",IF(C171&lt;=-0.5,"La Niña","Neutro"))</f>
        <v>El Niño</v>
      </c>
      <c r="E171" s="2">
        <v>125.48709865811399</v>
      </c>
      <c r="F171" s="2">
        <v>128.8965127611192</v>
      </c>
      <c r="G171" s="2">
        <v>96.101566666827409</v>
      </c>
      <c r="H171" s="3">
        <v>0.44161470000000003</v>
      </c>
      <c r="I171" s="3">
        <v>0.54520840000000004</v>
      </c>
      <c r="J171" s="3">
        <v>0.35356759999999998</v>
      </c>
      <c r="K171" s="3">
        <v>102.12378821396899</v>
      </c>
      <c r="L171" s="3">
        <v>117.4179062043471</v>
      </c>
      <c r="M171" s="3">
        <v>80.138597436056713</v>
      </c>
      <c r="N171" s="3">
        <v>120.37</v>
      </c>
      <c r="O171" s="3">
        <v>155.80000000000001</v>
      </c>
      <c r="P171" s="3">
        <v>115.6</v>
      </c>
      <c r="Q171" s="3">
        <v>31.517499999999998</v>
      </c>
      <c r="R171" s="3">
        <v>31.6675</v>
      </c>
      <c r="S171" s="3">
        <v>33.982500000000002</v>
      </c>
      <c r="T171" s="3">
        <v>1375</v>
      </c>
      <c r="U171" s="3">
        <v>3400</v>
      </c>
      <c r="V171" s="3">
        <v>100</v>
      </c>
    </row>
    <row r="172" spans="1:22" x14ac:dyDescent="0.25">
      <c r="A172" s="3">
        <v>3</v>
      </c>
      <c r="B172" s="3">
        <v>2015</v>
      </c>
      <c r="C172" s="2">
        <v>0.65</v>
      </c>
      <c r="D172" t="str">
        <f>IF(C172&gt;=0.5,"El Niño",IF(C172&lt;=-0.5,"La Niña","Neutro"))</f>
        <v>El Niño</v>
      </c>
      <c r="E172" s="2">
        <v>116.1841517900166</v>
      </c>
      <c r="F172" s="2">
        <v>128.29666812615639</v>
      </c>
      <c r="G172" s="2">
        <v>102.8295672045215</v>
      </c>
      <c r="H172" s="3">
        <v>0.4824717</v>
      </c>
      <c r="I172" s="3">
        <v>0.57038659999999997</v>
      </c>
      <c r="J172" s="3">
        <v>0.34479739999999998</v>
      </c>
      <c r="K172" s="3">
        <v>109.8126748072856</v>
      </c>
      <c r="L172" s="3">
        <v>119.75360783554081</v>
      </c>
      <c r="M172" s="3">
        <v>80.832574394701567</v>
      </c>
      <c r="N172" s="3">
        <v>70.540000000000006</v>
      </c>
      <c r="O172" s="3">
        <v>134.56</v>
      </c>
      <c r="P172" s="3">
        <v>44.35</v>
      </c>
      <c r="Q172" s="3">
        <v>30.622499999999999</v>
      </c>
      <c r="R172" s="3">
        <v>31.04</v>
      </c>
      <c r="S172" s="3">
        <v>32.917499999999997</v>
      </c>
      <c r="T172" s="3">
        <v>2025</v>
      </c>
      <c r="U172" s="3">
        <v>8775</v>
      </c>
      <c r="V172" s="3">
        <v>125</v>
      </c>
    </row>
    <row r="173" spans="1:22" x14ac:dyDescent="0.25">
      <c r="A173" s="3">
        <v>4</v>
      </c>
      <c r="B173" s="3">
        <v>2015</v>
      </c>
      <c r="C173" s="2">
        <v>0.81</v>
      </c>
      <c r="D173" t="str">
        <f>IF(C173&gt;=0.5,"El Niño",IF(C173&lt;=-0.5,"La Niña","Neutro"))</f>
        <v>El Niño</v>
      </c>
      <c r="E173" s="2">
        <v>104.738465600919</v>
      </c>
      <c r="F173" s="2">
        <v>116.6305826995987</v>
      </c>
      <c r="G173" s="2">
        <v>88.440087622427868</v>
      </c>
      <c r="H173" s="3">
        <v>0.53503659999999997</v>
      </c>
      <c r="I173" s="3">
        <v>0.54686330000000005</v>
      </c>
      <c r="J173" s="3">
        <v>0.34815040000000003</v>
      </c>
      <c r="K173" s="3">
        <v>106.5330782649372</v>
      </c>
      <c r="L173" s="3">
        <v>108.88594639095381</v>
      </c>
      <c r="M173" s="3">
        <v>74.794776585216411</v>
      </c>
      <c r="N173" s="3">
        <v>91.95</v>
      </c>
      <c r="O173" s="3">
        <v>216.52</v>
      </c>
      <c r="P173" s="3">
        <v>107.09</v>
      </c>
      <c r="Q173" s="3">
        <v>30.645</v>
      </c>
      <c r="R173" s="3">
        <v>30.187750000000001</v>
      </c>
      <c r="S173" s="3">
        <v>33.022500000000001</v>
      </c>
      <c r="T173" s="3">
        <v>1025</v>
      </c>
      <c r="U173" s="3">
        <v>9675</v>
      </c>
      <c r="V173" s="3">
        <v>0</v>
      </c>
    </row>
    <row r="174" spans="1:22" x14ac:dyDescent="0.25">
      <c r="A174" s="3">
        <v>5</v>
      </c>
      <c r="B174" s="3">
        <v>2015</v>
      </c>
      <c r="C174" s="2">
        <v>1.02</v>
      </c>
      <c r="D174" t="str">
        <f>IF(C174&gt;=0.5,"El Niño",IF(C174&lt;=-0.5,"La Niña","Neutro"))</f>
        <v>El Niño</v>
      </c>
      <c r="E174" s="2">
        <v>121.00256523431931</v>
      </c>
      <c r="F174" s="2">
        <v>143.1703634129461</v>
      </c>
      <c r="G174" s="2">
        <v>107.58098100228101</v>
      </c>
      <c r="H174" s="3">
        <v>0.64811790000000002</v>
      </c>
      <c r="I174" s="3">
        <v>0.55340020000000001</v>
      </c>
      <c r="J174" s="3">
        <v>0.39457819999999999</v>
      </c>
      <c r="K174" s="3">
        <v>102.68349137048909</v>
      </c>
      <c r="L174" s="3">
        <v>104.88388379056801</v>
      </c>
      <c r="M174" s="3">
        <v>72.320259457985983</v>
      </c>
      <c r="N174" s="3">
        <v>134.36000000000001</v>
      </c>
      <c r="O174" s="3">
        <v>22.35</v>
      </c>
      <c r="P174" s="3">
        <v>43.31</v>
      </c>
      <c r="Q174" s="3">
        <v>26.877500000000001</v>
      </c>
      <c r="R174" s="3">
        <v>29.297499999999999</v>
      </c>
      <c r="S174" s="3">
        <v>30.29</v>
      </c>
      <c r="T174" s="3">
        <v>2825</v>
      </c>
      <c r="U174" s="3">
        <v>6750</v>
      </c>
      <c r="V174" s="3">
        <v>1350</v>
      </c>
    </row>
    <row r="175" spans="1:22" x14ac:dyDescent="0.25">
      <c r="A175" s="3">
        <v>6</v>
      </c>
      <c r="B175" s="3">
        <v>2015</v>
      </c>
      <c r="C175" s="2">
        <v>1.25</v>
      </c>
      <c r="D175" t="str">
        <f>IF(C175&gt;=0.5,"El Niño",IF(C175&lt;=-0.5,"La Niña","Neutro"))</f>
        <v>El Niño</v>
      </c>
      <c r="E175" s="2">
        <v>122.9390862376692</v>
      </c>
      <c r="F175" s="2">
        <v>122.17797791395201</v>
      </c>
      <c r="G175" s="2">
        <v>92.481202710653093</v>
      </c>
      <c r="H175" s="3">
        <v>0.66738509999999995</v>
      </c>
      <c r="I175" s="3">
        <v>0.43152010000000002</v>
      </c>
      <c r="J175" s="3">
        <v>0.34067130000000001</v>
      </c>
      <c r="K175" s="3">
        <v>102.5136931967684</v>
      </c>
      <c r="L175" s="3">
        <v>75.715668660258117</v>
      </c>
      <c r="M175" s="3">
        <v>54.17587581091928</v>
      </c>
      <c r="N175" s="3">
        <v>166.74</v>
      </c>
      <c r="O175" s="3">
        <v>1.58</v>
      </c>
      <c r="P175" s="3">
        <v>41.79</v>
      </c>
      <c r="Q175" s="3">
        <v>25.184999999999999</v>
      </c>
      <c r="R175" s="3">
        <v>29.797499999999999</v>
      </c>
      <c r="S175" s="3">
        <v>30.34</v>
      </c>
      <c r="T175" s="3">
        <v>1925</v>
      </c>
      <c r="U175" s="3">
        <v>9200</v>
      </c>
      <c r="V175" s="3">
        <v>525</v>
      </c>
    </row>
    <row r="176" spans="1:22" x14ac:dyDescent="0.25">
      <c r="A176" s="3">
        <v>7</v>
      </c>
      <c r="B176" s="3">
        <v>2015</v>
      </c>
      <c r="C176" s="2">
        <v>1.57</v>
      </c>
      <c r="D176" t="str">
        <f>IF(C176&gt;=0.5,"El Niño",IF(C176&lt;=-0.5,"La Niña","Neutro"))</f>
        <v>El Niño</v>
      </c>
      <c r="E176" s="2">
        <v>136.12202026899399</v>
      </c>
      <c r="F176" s="2">
        <v>99.145665012802482</v>
      </c>
      <c r="G176" s="2">
        <v>85.525586098559558</v>
      </c>
      <c r="H176" s="3">
        <v>0.62798140000000002</v>
      </c>
      <c r="I176" s="3">
        <v>0.26638200000000001</v>
      </c>
      <c r="J176" s="3">
        <v>0.25082529999999997</v>
      </c>
      <c r="K176" s="3">
        <v>98.672437020650406</v>
      </c>
      <c r="L176" s="3">
        <v>50.810648562919198</v>
      </c>
      <c r="M176" s="3">
        <v>43.672397052375871</v>
      </c>
      <c r="N176" s="3">
        <v>76.510000000000005</v>
      </c>
      <c r="O176" s="3">
        <v>0.59</v>
      </c>
      <c r="P176" s="3">
        <v>26.82</v>
      </c>
      <c r="Q176" s="3">
        <v>25.212499999999999</v>
      </c>
      <c r="R176" s="3">
        <v>31.3825</v>
      </c>
      <c r="S176" s="3">
        <v>31.49</v>
      </c>
      <c r="T176" s="3">
        <v>900</v>
      </c>
      <c r="U176" s="3">
        <v>20525</v>
      </c>
      <c r="V176" s="3">
        <v>825</v>
      </c>
    </row>
    <row r="177" spans="1:22" x14ac:dyDescent="0.25">
      <c r="A177" s="3">
        <v>8</v>
      </c>
      <c r="B177" s="3">
        <v>2015</v>
      </c>
      <c r="C177" s="2">
        <v>1.91</v>
      </c>
      <c r="D177" t="str">
        <f>IF(C177&gt;=0.5,"El Niño",IF(C177&lt;=-0.5,"La Niña","Neutro"))</f>
        <v>El Niño</v>
      </c>
      <c r="E177" s="2">
        <v>150.48225692048521</v>
      </c>
      <c r="F177" s="2">
        <v>72.24811029707007</v>
      </c>
      <c r="G177" s="2">
        <v>71.361892683020926</v>
      </c>
      <c r="H177" s="3">
        <v>0.54113310000000003</v>
      </c>
      <c r="I177" s="3">
        <v>0.1385313</v>
      </c>
      <c r="J177" s="3">
        <v>0.16567799999999999</v>
      </c>
      <c r="K177" s="3">
        <v>103.1437135645581</v>
      </c>
      <c r="L177" s="3">
        <v>32.987192789171651</v>
      </c>
      <c r="M177" s="3">
        <v>35.403189520362773</v>
      </c>
      <c r="N177" s="3">
        <v>68.7</v>
      </c>
      <c r="O177" s="3">
        <v>0.64</v>
      </c>
      <c r="P177" s="3">
        <v>22.62</v>
      </c>
      <c r="Q177" s="3">
        <v>27.247499999999999</v>
      </c>
      <c r="R177" s="3">
        <v>35.387500000000003</v>
      </c>
      <c r="S177" s="3">
        <v>33.89</v>
      </c>
      <c r="T177" s="3">
        <v>2300</v>
      </c>
      <c r="U177" s="3">
        <v>42600</v>
      </c>
      <c r="V177" s="3">
        <v>18550</v>
      </c>
    </row>
    <row r="178" spans="1:22" x14ac:dyDescent="0.25">
      <c r="A178" s="3">
        <v>9</v>
      </c>
      <c r="B178" s="3">
        <v>2015</v>
      </c>
      <c r="C178" s="2">
        <v>2.21</v>
      </c>
      <c r="D178" t="str">
        <f>IF(C178&gt;=0.5,"El Niño",IF(C178&lt;=-0.5,"La Niña","Neutro"))</f>
        <v>El Niño</v>
      </c>
      <c r="E178" s="2">
        <v>142.5294713793941</v>
      </c>
      <c r="F178" s="2">
        <v>23.842303276588101</v>
      </c>
      <c r="G178" s="2">
        <v>44.726482395945347</v>
      </c>
      <c r="H178" s="3">
        <v>0.4249291</v>
      </c>
      <c r="I178" s="3">
        <v>7.6541960000000006E-2</v>
      </c>
      <c r="J178" s="3">
        <v>0.100537</v>
      </c>
      <c r="K178" s="3">
        <v>102.296164423611</v>
      </c>
      <c r="L178" s="3">
        <v>21.078152013365941</v>
      </c>
      <c r="M178" s="3">
        <v>25.062162869561181</v>
      </c>
      <c r="N178" s="3">
        <v>17.489999999999998</v>
      </c>
      <c r="O178" s="3">
        <v>2.4300000000000002</v>
      </c>
      <c r="P178" s="3">
        <v>4.4800000000000004</v>
      </c>
      <c r="Q178" s="3">
        <v>33.462499999999999</v>
      </c>
      <c r="R178" s="3">
        <v>41.622500000000002</v>
      </c>
      <c r="S178" s="3">
        <v>39.150000000000013</v>
      </c>
      <c r="T178" s="3">
        <v>13400</v>
      </c>
      <c r="U178" s="3">
        <v>529975</v>
      </c>
      <c r="V178" s="3">
        <v>296550</v>
      </c>
    </row>
    <row r="179" spans="1:22" x14ac:dyDescent="0.25">
      <c r="A179" s="3">
        <v>10</v>
      </c>
      <c r="B179" s="3">
        <v>2015</v>
      </c>
      <c r="C179" s="2">
        <v>2.4700000000000002</v>
      </c>
      <c r="D179" t="str">
        <f>IF(C179&gt;=0.5,"El Niño",IF(C179&lt;=-0.5,"La Niña","Neutro"))</f>
        <v>El Niño</v>
      </c>
      <c r="E179" s="2">
        <v>124.4154513494031</v>
      </c>
      <c r="F179" s="2">
        <v>27.653532738641712</v>
      </c>
      <c r="G179" s="2">
        <v>35.263770754266588</v>
      </c>
      <c r="H179" s="3">
        <v>0.36002640000000002</v>
      </c>
      <c r="I179" s="3">
        <v>0.10132149999999999</v>
      </c>
      <c r="J179" s="3">
        <v>8.4963979999999995E-2</v>
      </c>
      <c r="K179" s="3">
        <v>94.700263709276598</v>
      </c>
      <c r="L179" s="3">
        <v>27.91935882224751</v>
      </c>
      <c r="M179" s="3">
        <v>22.633574907924441</v>
      </c>
      <c r="N179" s="3">
        <v>23.22</v>
      </c>
      <c r="O179" s="3">
        <v>36</v>
      </c>
      <c r="P179" s="3">
        <v>12.76</v>
      </c>
      <c r="Q179" s="3">
        <v>36.2425</v>
      </c>
      <c r="R179" s="3">
        <v>43.46</v>
      </c>
      <c r="S179" s="3">
        <v>41.494999999999997</v>
      </c>
      <c r="T179" s="3">
        <v>20275</v>
      </c>
      <c r="U179" s="3">
        <v>538675</v>
      </c>
      <c r="V179" s="3">
        <v>142075</v>
      </c>
    </row>
    <row r="180" spans="1:22" x14ac:dyDescent="0.25">
      <c r="A180" s="3">
        <v>11</v>
      </c>
      <c r="B180" s="3">
        <v>2015</v>
      </c>
      <c r="C180" s="2">
        <v>2.64</v>
      </c>
      <c r="D180" t="str">
        <f>IF(C180&gt;=0.5,"El Niño",IF(C180&lt;=-0.5,"La Niña","Neutro"))</f>
        <v>El Niño</v>
      </c>
      <c r="E180" s="2">
        <v>89.404054377031031</v>
      </c>
      <c r="F180" s="2">
        <v>62.204350826360397</v>
      </c>
      <c r="G180" s="2">
        <v>35.169161498695551</v>
      </c>
      <c r="H180" s="3">
        <v>0.3773862</v>
      </c>
      <c r="I180" s="3">
        <v>0.30741410000000002</v>
      </c>
      <c r="J180" s="3">
        <v>0.1330489</v>
      </c>
      <c r="K180" s="3">
        <v>93.14065683685304</v>
      </c>
      <c r="L180" s="3">
        <v>66.149462053157066</v>
      </c>
      <c r="M180" s="3">
        <v>32.648398424990759</v>
      </c>
      <c r="N180" s="3">
        <v>34.93</v>
      </c>
      <c r="O180" s="3">
        <v>136.83000000000001</v>
      </c>
      <c r="P180" s="3">
        <v>47.32</v>
      </c>
      <c r="Q180" s="3">
        <v>37.297499999999999</v>
      </c>
      <c r="R180" s="3">
        <v>39.477499999999999</v>
      </c>
      <c r="S180" s="3">
        <v>41.1175</v>
      </c>
      <c r="T180" s="3">
        <v>23875</v>
      </c>
      <c r="U180" s="3">
        <v>96700</v>
      </c>
      <c r="V180" s="3">
        <v>44050</v>
      </c>
    </row>
    <row r="181" spans="1:22" x14ac:dyDescent="0.25">
      <c r="A181" s="3">
        <v>12</v>
      </c>
      <c r="B181" s="3">
        <v>2015</v>
      </c>
      <c r="C181" s="2">
        <v>2.75</v>
      </c>
      <c r="D181" t="str">
        <f>IF(C181&gt;=0.5,"El Niño",IF(C181&lt;=-0.5,"La Niña","Neutro"))</f>
        <v>El Niño</v>
      </c>
      <c r="E181" s="2">
        <v>94.935549186426172</v>
      </c>
      <c r="F181" s="2">
        <v>68.452521049944821</v>
      </c>
      <c r="G181" s="2">
        <v>39.21650967849272</v>
      </c>
      <c r="H181" s="3">
        <v>0.34147280000000002</v>
      </c>
      <c r="I181" s="3">
        <v>0.2414261</v>
      </c>
      <c r="J181" s="3">
        <v>0.13621520000000001</v>
      </c>
      <c r="K181" s="3">
        <v>81.125541208228967</v>
      </c>
      <c r="L181" s="3">
        <v>57.199094005504577</v>
      </c>
      <c r="M181" s="3">
        <v>33.209835424922609</v>
      </c>
      <c r="N181" s="3">
        <v>18.350000000000001</v>
      </c>
      <c r="O181" s="3">
        <v>40.619999999999997</v>
      </c>
      <c r="P181" s="3">
        <v>11.29</v>
      </c>
      <c r="Q181" s="3">
        <v>36.594999999999999</v>
      </c>
      <c r="R181" s="3">
        <v>37.61</v>
      </c>
      <c r="S181" s="3">
        <v>38.954999999999998</v>
      </c>
      <c r="T181" s="3">
        <v>65850</v>
      </c>
      <c r="U181" s="3">
        <v>66400</v>
      </c>
      <c r="V181" s="3">
        <v>37200</v>
      </c>
    </row>
    <row r="182" spans="1:22" x14ac:dyDescent="0.25">
      <c r="A182" s="3">
        <v>1</v>
      </c>
      <c r="B182" s="3">
        <v>2016</v>
      </c>
      <c r="C182" s="2">
        <v>2.63</v>
      </c>
      <c r="D182" t="str">
        <f>IF(C182&gt;=0.5,"El Niño",IF(C182&lt;=-0.5,"La Niña","Neutro"))</f>
        <v>El Niño</v>
      </c>
      <c r="E182" s="5">
        <v>79.178625039030734</v>
      </c>
      <c r="F182" s="5">
        <v>77.00685845841565</v>
      </c>
      <c r="G182" s="5">
        <v>63.7633226357135</v>
      </c>
      <c r="H182" s="3">
        <v>0.48432059999999999</v>
      </c>
      <c r="I182" s="3">
        <v>0.56086020000000003</v>
      </c>
      <c r="J182" s="3">
        <v>0.39171699999999998</v>
      </c>
      <c r="K182" s="3">
        <v>80.558992330406483</v>
      </c>
      <c r="L182" s="3">
        <v>77.631031623041721</v>
      </c>
      <c r="M182" s="3">
        <v>62.270614522579088</v>
      </c>
      <c r="N182" s="3">
        <v>254.78</v>
      </c>
      <c r="O182" s="3">
        <v>488.67</v>
      </c>
      <c r="P182" s="3">
        <v>391.06</v>
      </c>
      <c r="Q182" s="3">
        <v>33.516666666666673</v>
      </c>
      <c r="R182" s="3">
        <v>30.54</v>
      </c>
      <c r="S182" s="3">
        <v>33.619999999999997</v>
      </c>
      <c r="T182" s="3">
        <v>3550</v>
      </c>
      <c r="U182" s="3">
        <v>10100</v>
      </c>
      <c r="V182" s="3">
        <v>1925</v>
      </c>
    </row>
    <row r="183" spans="1:22" x14ac:dyDescent="0.25">
      <c r="A183" s="3">
        <v>2</v>
      </c>
      <c r="B183" s="3">
        <v>2016</v>
      </c>
      <c r="C183" s="2">
        <v>2.2799999999999998</v>
      </c>
      <c r="D183" t="str">
        <f>IF(C183&gt;=0.5,"El Niño",IF(C183&lt;=-0.5,"La Niña","Neutro"))</f>
        <v>El Niño</v>
      </c>
      <c r="E183" s="5">
        <v>149.1056934748334</v>
      </c>
      <c r="F183" s="5">
        <v>166.40370535525119</v>
      </c>
      <c r="G183" s="5">
        <v>157.9441785578226</v>
      </c>
      <c r="H183" s="3">
        <v>0.47549209999999997</v>
      </c>
      <c r="I183" s="3">
        <v>0.50942989999999999</v>
      </c>
      <c r="J183" s="3">
        <v>0.46131640000000002</v>
      </c>
      <c r="K183" s="3">
        <v>125.6448728718584</v>
      </c>
      <c r="L183" s="3">
        <v>131.42163127436501</v>
      </c>
      <c r="M183" s="3">
        <v>119.5706987128418</v>
      </c>
      <c r="N183" s="3">
        <v>27.26</v>
      </c>
      <c r="O183" s="3">
        <v>37.409999999999997</v>
      </c>
      <c r="P183" s="3">
        <v>26.02</v>
      </c>
      <c r="Q183" s="3">
        <v>29.907499999999999</v>
      </c>
      <c r="R183" s="3">
        <v>31.895</v>
      </c>
      <c r="S183" s="3">
        <v>31.197500000000002</v>
      </c>
      <c r="T183" s="3">
        <v>5375</v>
      </c>
      <c r="U183" s="3">
        <v>5525</v>
      </c>
      <c r="V183" s="3">
        <v>525</v>
      </c>
    </row>
    <row r="184" spans="1:22" x14ac:dyDescent="0.25">
      <c r="A184" s="3">
        <v>3</v>
      </c>
      <c r="B184" s="3">
        <v>2016</v>
      </c>
      <c r="C184" s="2">
        <v>1.71</v>
      </c>
      <c r="D184" t="str">
        <f>IF(C184&gt;=0.5,"El Niño",IF(C184&lt;=-0.5,"La Niña","Neutro"))</f>
        <v>El Niño</v>
      </c>
      <c r="E184" s="5">
        <v>121.3890153077549</v>
      </c>
      <c r="F184" s="5">
        <v>120.1761879876596</v>
      </c>
      <c r="G184" s="5">
        <v>103.8887804592823</v>
      </c>
      <c r="H184" s="3">
        <v>0.41103200000000001</v>
      </c>
      <c r="I184" s="3">
        <v>0.41921239999999999</v>
      </c>
      <c r="J184" s="3">
        <v>0.34083580000000002</v>
      </c>
      <c r="K184" s="3">
        <v>100.5753037139544</v>
      </c>
      <c r="L184" s="3">
        <v>106.7798976165686</v>
      </c>
      <c r="M184" s="3">
        <v>87.337842377253196</v>
      </c>
      <c r="N184" s="3">
        <v>35.97</v>
      </c>
      <c r="O184" s="3">
        <v>73.77</v>
      </c>
      <c r="P184" s="3">
        <v>13.15</v>
      </c>
      <c r="Q184" s="3">
        <v>32.697500000000012</v>
      </c>
      <c r="R184" s="3">
        <v>32.865000000000002</v>
      </c>
      <c r="S184" s="3">
        <v>32.797499999999999</v>
      </c>
      <c r="T184" s="3">
        <v>1050</v>
      </c>
      <c r="U184" s="3">
        <v>6475</v>
      </c>
      <c r="V184" s="3">
        <v>0</v>
      </c>
    </row>
    <row r="185" spans="1:22" x14ac:dyDescent="0.25">
      <c r="A185" s="3">
        <v>4</v>
      </c>
      <c r="B185" s="3">
        <v>2016</v>
      </c>
      <c r="C185" s="2">
        <v>1.05</v>
      </c>
      <c r="D185" t="str">
        <f>IF(C185&gt;=0.5,"El Niño",IF(C185&lt;=-0.5,"La Niña","Neutro"))</f>
        <v>El Niño</v>
      </c>
      <c r="E185" s="5">
        <v>106.0739637100971</v>
      </c>
      <c r="F185" s="5">
        <v>86.991221068306146</v>
      </c>
      <c r="G185" s="5">
        <v>74.540489807925084</v>
      </c>
      <c r="H185" s="3">
        <v>0.42171229999999998</v>
      </c>
      <c r="I185" s="3">
        <v>0.31110579999999999</v>
      </c>
      <c r="J185" s="3">
        <v>0.26348749999999999</v>
      </c>
      <c r="K185" s="3">
        <v>91.12149201368247</v>
      </c>
      <c r="L185" s="3">
        <v>71.763180101213095</v>
      </c>
      <c r="M185" s="3">
        <v>60.023946340166049</v>
      </c>
      <c r="N185" s="3">
        <v>33.950000000000003</v>
      </c>
      <c r="O185" s="3">
        <v>9.49</v>
      </c>
      <c r="P185" s="3">
        <v>9.83</v>
      </c>
      <c r="Q185" s="3">
        <v>32.077500000000001</v>
      </c>
      <c r="R185" s="3">
        <v>33.167499999999997</v>
      </c>
      <c r="S185" s="3">
        <v>32.932499999999997</v>
      </c>
      <c r="T185" s="3">
        <v>1525</v>
      </c>
      <c r="U185" s="3">
        <v>15675</v>
      </c>
      <c r="V185" s="3">
        <v>1150</v>
      </c>
    </row>
    <row r="186" spans="1:22" x14ac:dyDescent="0.25">
      <c r="A186" s="3">
        <v>5</v>
      </c>
      <c r="B186" s="3">
        <v>2016</v>
      </c>
      <c r="C186" s="2">
        <v>0.49</v>
      </c>
      <c r="D186" t="str">
        <f>IF(C186&gt;=0.5,"El Niño",IF(C186&lt;=-0.5,"La Niña","Neutro"))</f>
        <v>Neutro</v>
      </c>
      <c r="E186" s="5">
        <v>99.76711203457063</v>
      </c>
      <c r="F186" s="5">
        <v>69.342209654020223</v>
      </c>
      <c r="G186" s="5">
        <v>62.933662540327063</v>
      </c>
      <c r="H186" s="3">
        <v>0.4865237</v>
      </c>
      <c r="I186" s="3">
        <v>0.23947180000000001</v>
      </c>
      <c r="J186" s="3">
        <v>0.226574</v>
      </c>
      <c r="K186" s="3">
        <v>84.99078303918607</v>
      </c>
      <c r="L186" s="3">
        <v>49.435796669814437</v>
      </c>
      <c r="M186" s="3">
        <v>44.669219653963552</v>
      </c>
      <c r="N186" s="3">
        <v>58.88</v>
      </c>
      <c r="O186" s="3">
        <v>2.4900000000000002</v>
      </c>
      <c r="P186" s="3">
        <v>23.93</v>
      </c>
      <c r="Q186" s="3">
        <v>30.65</v>
      </c>
      <c r="R186" s="3">
        <v>32.840000000000003</v>
      </c>
      <c r="S186" s="3">
        <v>32.314999999999998</v>
      </c>
      <c r="T186" s="3">
        <v>3400</v>
      </c>
      <c r="U186" s="3">
        <v>5500</v>
      </c>
      <c r="V186" s="3">
        <v>0</v>
      </c>
    </row>
    <row r="187" spans="1:22" x14ac:dyDescent="0.25">
      <c r="A187" s="3">
        <v>6</v>
      </c>
      <c r="B187" s="3">
        <v>2016</v>
      </c>
      <c r="C187" s="2">
        <v>0</v>
      </c>
      <c r="D187" t="str">
        <f>IF(C187&gt;=0.5,"El Niño",IF(C187&lt;=-0.5,"La Niña","Neutro"))</f>
        <v>Neutro</v>
      </c>
      <c r="E187" s="5">
        <v>99.029234303865294</v>
      </c>
      <c r="F187" s="5">
        <v>68.448290076613134</v>
      </c>
      <c r="G187" s="5">
        <v>69.561056966634027</v>
      </c>
      <c r="H187" s="3">
        <v>0.52571259999999997</v>
      </c>
      <c r="I187" s="3">
        <v>0.19959769999999999</v>
      </c>
      <c r="J187" s="3">
        <v>0.2215772</v>
      </c>
      <c r="K187" s="3">
        <v>81.773645834348471</v>
      </c>
      <c r="L187" s="3">
        <v>39.395599167050051</v>
      </c>
      <c r="M187" s="3">
        <v>40.329937357861077</v>
      </c>
      <c r="N187" s="3">
        <v>52.39</v>
      </c>
      <c r="O187" s="3">
        <v>4.38</v>
      </c>
      <c r="P187" s="3">
        <v>14.14</v>
      </c>
      <c r="Q187" s="3">
        <v>27.827500000000001</v>
      </c>
      <c r="R187" s="3">
        <v>31.322500000000002</v>
      </c>
      <c r="S187" s="3">
        <v>31.05</v>
      </c>
      <c r="T187" s="3">
        <v>975</v>
      </c>
      <c r="U187" s="3">
        <v>19475</v>
      </c>
      <c r="V187" s="3">
        <v>100</v>
      </c>
    </row>
    <row r="188" spans="1:22" x14ac:dyDescent="0.25">
      <c r="A188" s="3">
        <v>7</v>
      </c>
      <c r="B188" s="3">
        <v>2016</v>
      </c>
      <c r="C188" s="2">
        <v>-0.31</v>
      </c>
      <c r="D188" t="str">
        <f>IF(C188&gt;=0.5,"El Niño",IF(C188&lt;=-0.5,"La Niña","Neutro"))</f>
        <v>Neutro</v>
      </c>
      <c r="E188" s="5">
        <v>127.45794376491359</v>
      </c>
      <c r="F188" s="5">
        <v>64.250652230497153</v>
      </c>
      <c r="G188" s="5">
        <v>75.074973597534807</v>
      </c>
      <c r="H188" s="3">
        <v>0.55077750000000003</v>
      </c>
      <c r="I188" s="3">
        <v>0.1370577</v>
      </c>
      <c r="J188" s="3">
        <v>0.1838582</v>
      </c>
      <c r="K188" s="3">
        <v>87.916978745383147</v>
      </c>
      <c r="L188" s="3">
        <v>29.459425773021142</v>
      </c>
      <c r="M188" s="3">
        <v>34.773795720408721</v>
      </c>
      <c r="N188" s="3">
        <v>58.05</v>
      </c>
      <c r="O188" s="3">
        <v>0.42</v>
      </c>
      <c r="P188" s="3">
        <v>9.9600000000000009</v>
      </c>
      <c r="Q188" s="3">
        <v>26.99</v>
      </c>
      <c r="R188" s="3">
        <v>32.912500000000001</v>
      </c>
      <c r="S188" s="3">
        <v>31.55</v>
      </c>
      <c r="T188" s="3">
        <v>125</v>
      </c>
      <c r="U188" s="3">
        <v>15725</v>
      </c>
      <c r="V188" s="3">
        <v>850</v>
      </c>
    </row>
    <row r="189" spans="1:22" x14ac:dyDescent="0.25">
      <c r="A189" s="3">
        <v>8</v>
      </c>
      <c r="B189" s="3">
        <v>2016</v>
      </c>
      <c r="C189" s="2">
        <v>-0.5</v>
      </c>
      <c r="D189" t="str">
        <f>IF(C189&gt;=0.5,"El Niño",IF(C189&lt;=-0.5,"La Niña","Neutro"))</f>
        <v>La Niña</v>
      </c>
      <c r="E189" s="5">
        <v>135.96740384948981</v>
      </c>
      <c r="F189" s="5">
        <v>37.371739301503013</v>
      </c>
      <c r="G189" s="5">
        <v>59.15001874695588</v>
      </c>
      <c r="H189" s="3">
        <v>0.48969170000000001</v>
      </c>
      <c r="I189" s="3">
        <v>9.0011569999999999E-2</v>
      </c>
      <c r="J189" s="3">
        <v>0.1377081</v>
      </c>
      <c r="K189" s="3">
        <v>88.09548790114313</v>
      </c>
      <c r="L189" s="3">
        <v>22.12371869375368</v>
      </c>
      <c r="M189" s="3">
        <v>28.974349168862389</v>
      </c>
      <c r="N189" s="3">
        <v>59.02</v>
      </c>
      <c r="O189" s="3">
        <v>1.5</v>
      </c>
      <c r="P189" s="3">
        <v>15.52</v>
      </c>
      <c r="Q189" s="3">
        <v>29.215</v>
      </c>
      <c r="R189" s="3">
        <v>36.630000000000003</v>
      </c>
      <c r="S189" s="3">
        <v>34.682499999999997</v>
      </c>
      <c r="T189" s="3">
        <v>325</v>
      </c>
      <c r="U189" s="3">
        <v>51550</v>
      </c>
      <c r="V189" s="3">
        <v>17200</v>
      </c>
    </row>
    <row r="190" spans="1:22" x14ac:dyDescent="0.25">
      <c r="A190" s="3">
        <v>9</v>
      </c>
      <c r="B190" s="3">
        <v>2016</v>
      </c>
      <c r="C190" s="2">
        <v>-0.57999999999999996</v>
      </c>
      <c r="D190" t="str">
        <f>IF(C190&gt;=0.5,"El Niño",IF(C190&lt;=-0.5,"La Niña","Neutro"))</f>
        <v>La Niña</v>
      </c>
      <c r="E190" s="5">
        <v>133.18771813839811</v>
      </c>
      <c r="F190" s="5">
        <v>29.669982062400251</v>
      </c>
      <c r="G190" s="5">
        <v>49.528482955340053</v>
      </c>
      <c r="H190" s="3">
        <v>0.44682359999999999</v>
      </c>
      <c r="I190" s="3">
        <v>0.10745440000000001</v>
      </c>
      <c r="J190" s="3">
        <v>0.12066399999999999</v>
      </c>
      <c r="K190" s="3">
        <v>87.456881291844113</v>
      </c>
      <c r="L190" s="3">
        <v>26.539310879198041</v>
      </c>
      <c r="M190" s="3">
        <v>27.818004051505621</v>
      </c>
      <c r="N190" s="3">
        <v>55.63</v>
      </c>
      <c r="O190" s="3">
        <v>25.89</v>
      </c>
      <c r="P190" s="3">
        <v>18.96</v>
      </c>
      <c r="Q190" s="3">
        <v>33.270000000000003</v>
      </c>
      <c r="R190" s="3">
        <v>39.15</v>
      </c>
      <c r="S190" s="3">
        <v>37.797499999999999</v>
      </c>
      <c r="T190" s="3">
        <v>900</v>
      </c>
      <c r="U190" s="3">
        <v>138075</v>
      </c>
      <c r="V190" s="3">
        <v>43350</v>
      </c>
    </row>
    <row r="191" spans="1:22" x14ac:dyDescent="0.25">
      <c r="A191" s="3">
        <v>10</v>
      </c>
      <c r="B191" s="3">
        <v>2016</v>
      </c>
      <c r="C191" s="2">
        <v>-0.64</v>
      </c>
      <c r="D191" t="str">
        <f>IF(C191&gt;=0.5,"El Niño",IF(C191&lt;=-0.5,"La Niña","Neutro"))</f>
        <v>La Niña</v>
      </c>
      <c r="E191" s="5">
        <v>143.8055868872176</v>
      </c>
      <c r="F191" s="5">
        <v>49.227423139705451</v>
      </c>
      <c r="G191" s="5">
        <v>57.130049381049062</v>
      </c>
      <c r="H191" s="3">
        <v>0.44266450000000002</v>
      </c>
      <c r="I191" s="3">
        <v>0.15147079999999999</v>
      </c>
      <c r="J191" s="3">
        <v>0.13717969999999999</v>
      </c>
      <c r="K191" s="3">
        <v>103.3198273123289</v>
      </c>
      <c r="L191" s="3">
        <v>41.190384149737277</v>
      </c>
      <c r="M191" s="3">
        <v>35.324590070011801</v>
      </c>
      <c r="N191" s="3">
        <v>111.07</v>
      </c>
      <c r="O191" s="3">
        <v>22.27</v>
      </c>
      <c r="P191" s="3">
        <v>39.18</v>
      </c>
      <c r="Q191" s="3">
        <v>31.702500000000001</v>
      </c>
      <c r="R191" s="3">
        <v>39.994999999999997</v>
      </c>
      <c r="S191" s="3">
        <v>38.774999999999999</v>
      </c>
      <c r="T191" s="3">
        <v>625</v>
      </c>
      <c r="U191" s="3">
        <v>50450</v>
      </c>
      <c r="V191" s="3">
        <v>23950</v>
      </c>
    </row>
    <row r="192" spans="1:22" x14ac:dyDescent="0.25">
      <c r="A192" s="3">
        <v>11</v>
      </c>
      <c r="B192" s="3">
        <v>2016</v>
      </c>
      <c r="C192" s="2">
        <v>-0.6</v>
      </c>
      <c r="D192" t="str">
        <f>IF(C192&gt;=0.5,"El Niño",IF(C192&lt;=-0.5,"La Niña","Neutro"))</f>
        <v>La Niña</v>
      </c>
      <c r="E192" s="5">
        <v>121.8978809688101</v>
      </c>
      <c r="F192" s="5">
        <v>95.003436795686895</v>
      </c>
      <c r="G192" s="5">
        <v>80.182002741516257</v>
      </c>
      <c r="H192" s="3">
        <v>0.52240509999999996</v>
      </c>
      <c r="I192" s="3">
        <v>0.44925939999999998</v>
      </c>
      <c r="J192" s="3">
        <v>0.3028962</v>
      </c>
      <c r="K192" s="3">
        <v>108.9170202605908</v>
      </c>
      <c r="L192" s="3">
        <v>89.059468146928509</v>
      </c>
      <c r="M192" s="3">
        <v>67.187168644072401</v>
      </c>
      <c r="N192" s="3">
        <v>150.81</v>
      </c>
      <c r="O192" s="3">
        <v>154.85</v>
      </c>
      <c r="P192" s="3">
        <v>93.28</v>
      </c>
      <c r="Q192" s="3">
        <v>33.540000000000013</v>
      </c>
      <c r="R192" s="3">
        <v>35.884999999999998</v>
      </c>
      <c r="S192" s="3">
        <v>36.96</v>
      </c>
      <c r="T192" s="3">
        <v>625</v>
      </c>
      <c r="U192" s="3">
        <v>50725</v>
      </c>
      <c r="V192" s="3">
        <v>23950</v>
      </c>
    </row>
    <row r="193" spans="1:22" x14ac:dyDescent="0.25">
      <c r="A193" s="3">
        <v>12</v>
      </c>
      <c r="B193" s="3">
        <v>2016</v>
      </c>
      <c r="C193" s="2">
        <v>-0.45</v>
      </c>
      <c r="D193" t="str">
        <f>IF(C193&gt;=0.5,"El Niño",IF(C193&lt;=-0.5,"La Niña","Neutro"))</f>
        <v>Neutro</v>
      </c>
      <c r="E193" s="5">
        <v>125.1806663942547</v>
      </c>
      <c r="F193" s="5">
        <v>119.00265492618141</v>
      </c>
      <c r="G193" s="5">
        <v>92.369708837471734</v>
      </c>
      <c r="H193" s="3">
        <v>0.49340539999999999</v>
      </c>
      <c r="I193" s="3">
        <v>0.4467874</v>
      </c>
      <c r="J193" s="3">
        <v>0.29722490000000001</v>
      </c>
      <c r="K193" s="3">
        <v>108.8796715815735</v>
      </c>
      <c r="L193" s="3">
        <v>93.974437032373658</v>
      </c>
      <c r="M193" s="3">
        <v>68.194441331870664</v>
      </c>
      <c r="N193" s="3">
        <v>73.2</v>
      </c>
      <c r="O193" s="3">
        <v>110.93</v>
      </c>
      <c r="P193" s="3">
        <v>47.09</v>
      </c>
      <c r="Q193" s="3">
        <v>32.177499999999988</v>
      </c>
      <c r="R193" s="3">
        <v>33.107500000000002</v>
      </c>
      <c r="S193" s="3">
        <v>34.087499999999999</v>
      </c>
      <c r="T193" s="3">
        <v>950</v>
      </c>
      <c r="U193" s="3">
        <v>9300</v>
      </c>
      <c r="V193" s="3">
        <v>3500</v>
      </c>
    </row>
    <row r="194" spans="1:22" x14ac:dyDescent="0.25">
      <c r="A194" s="3">
        <v>1</v>
      </c>
      <c r="B194" s="3">
        <v>2017</v>
      </c>
      <c r="C194" s="2">
        <v>-0.19</v>
      </c>
      <c r="D194" t="str">
        <f>IF(C194&gt;=0.5,"El Niño",IF(C194&lt;=-0.5,"La Niña","Neutro"))</f>
        <v>Neutro</v>
      </c>
      <c r="E194" s="2">
        <v>131.02444711288271</v>
      </c>
      <c r="F194" s="2">
        <v>102.5982243995747</v>
      </c>
      <c r="G194" s="2">
        <v>73.998004624650974</v>
      </c>
      <c r="H194" s="3">
        <v>0.421288</v>
      </c>
      <c r="I194" s="3">
        <v>0.39150620000000003</v>
      </c>
      <c r="J194" s="3">
        <v>0.22214420000000001</v>
      </c>
      <c r="K194" s="3">
        <v>102.1530463001764</v>
      </c>
      <c r="L194" s="3">
        <v>87.574638207543359</v>
      </c>
      <c r="M194" s="3">
        <v>54.157625822528608</v>
      </c>
      <c r="N194" s="3">
        <v>14.29</v>
      </c>
      <c r="O194" s="3">
        <v>88.11</v>
      </c>
      <c r="P194" s="3">
        <v>17.97</v>
      </c>
      <c r="Q194" s="3">
        <v>33.673333333333339</v>
      </c>
      <c r="R194" s="3">
        <v>34.513333333333328</v>
      </c>
      <c r="S194" s="3">
        <v>35.94</v>
      </c>
      <c r="T194" s="3">
        <v>975</v>
      </c>
      <c r="U194" s="3">
        <v>2250</v>
      </c>
      <c r="V194" s="3">
        <v>5200</v>
      </c>
    </row>
    <row r="195" spans="1:22" x14ac:dyDescent="0.25">
      <c r="A195" s="3">
        <v>2</v>
      </c>
      <c r="B195" s="3">
        <v>2017</v>
      </c>
      <c r="C195" s="2">
        <v>-0.02</v>
      </c>
      <c r="D195" t="str">
        <f>IF(C195&gt;=0.5,"El Niño",IF(C195&lt;=-0.5,"La Niña","Neutro"))</f>
        <v>Neutro</v>
      </c>
      <c r="E195" s="2">
        <v>124.3516040183338</v>
      </c>
      <c r="F195" s="2">
        <v>129.8954534540473</v>
      </c>
      <c r="G195" s="2">
        <v>80.577247283801185</v>
      </c>
      <c r="H195" s="3">
        <v>0.4185777</v>
      </c>
      <c r="I195" s="3">
        <v>0.60641599999999996</v>
      </c>
      <c r="J195" s="3">
        <v>0.28389199999999998</v>
      </c>
      <c r="K195" s="3">
        <v>89.182566731310857</v>
      </c>
      <c r="L195" s="3">
        <v>118.7085413690404</v>
      </c>
      <c r="M195" s="3">
        <v>60.544635554464648</v>
      </c>
      <c r="N195" s="3">
        <v>109.14</v>
      </c>
      <c r="O195" s="3">
        <v>214.83</v>
      </c>
      <c r="P195" s="3">
        <v>80.430000000000007</v>
      </c>
      <c r="Q195" s="3">
        <v>30.6175</v>
      </c>
      <c r="R195" s="3">
        <v>30.295000000000002</v>
      </c>
      <c r="S195" s="3">
        <v>33.9375</v>
      </c>
      <c r="T195" s="3">
        <v>25</v>
      </c>
      <c r="U195" s="3">
        <v>2275</v>
      </c>
      <c r="V195" s="3">
        <v>75</v>
      </c>
    </row>
    <row r="196" spans="1:22" x14ac:dyDescent="0.25">
      <c r="A196" s="3">
        <v>3</v>
      </c>
      <c r="B196" s="3">
        <v>2017</v>
      </c>
      <c r="C196" s="2">
        <v>0.18</v>
      </c>
      <c r="D196" t="str">
        <f>IF(C196&gt;=0.5,"El Niño",IF(C196&lt;=-0.5,"La Niña","Neutro"))</f>
        <v>Neutro</v>
      </c>
      <c r="E196" s="2">
        <v>110.5155269051814</v>
      </c>
      <c r="F196" s="2">
        <v>132.403343173119</v>
      </c>
      <c r="G196" s="2">
        <v>88.632638269348547</v>
      </c>
      <c r="H196" s="3">
        <v>0.44005359999999999</v>
      </c>
      <c r="I196" s="3">
        <v>0.53740920000000003</v>
      </c>
      <c r="J196" s="3">
        <v>0.27270179999999999</v>
      </c>
      <c r="K196" s="3">
        <v>100.92</v>
      </c>
      <c r="L196" s="3">
        <v>116.8571383891458</v>
      </c>
      <c r="M196" s="3">
        <v>64.158964483891367</v>
      </c>
      <c r="N196" s="3">
        <v>121.81</v>
      </c>
      <c r="O196" s="3">
        <v>140.19</v>
      </c>
      <c r="P196" s="3">
        <v>72.62</v>
      </c>
      <c r="Q196" s="3">
        <v>32.07</v>
      </c>
      <c r="R196" s="3">
        <v>31.605</v>
      </c>
      <c r="S196" s="3">
        <v>34.8125</v>
      </c>
      <c r="T196" s="3">
        <v>0</v>
      </c>
      <c r="U196" s="3">
        <v>17450</v>
      </c>
      <c r="V196" s="3">
        <v>1450</v>
      </c>
    </row>
    <row r="197" spans="1:22" x14ac:dyDescent="0.25">
      <c r="A197" s="3">
        <v>4</v>
      </c>
      <c r="B197" s="3">
        <v>2017</v>
      </c>
      <c r="C197" s="2">
        <v>0.31</v>
      </c>
      <c r="D197" t="str">
        <f>IF(C197&gt;=0.5,"El Niño",IF(C197&lt;=-0.5,"La Niña","Neutro"))</f>
        <v>Neutro</v>
      </c>
      <c r="E197" s="2">
        <v>129.8028404732259</v>
      </c>
      <c r="F197" s="2">
        <v>140.8010472007054</v>
      </c>
      <c r="G197" s="2">
        <v>100.554557620065</v>
      </c>
      <c r="H197" s="3">
        <v>0.53619689999999998</v>
      </c>
      <c r="I197" s="3">
        <v>0.50393480000000002</v>
      </c>
      <c r="J197" s="3">
        <v>0.32271080000000002</v>
      </c>
      <c r="K197" s="3">
        <v>114.5805336555797</v>
      </c>
      <c r="L197" s="3">
        <v>113.1993536970225</v>
      </c>
      <c r="M197" s="3">
        <v>72.090251237976801</v>
      </c>
      <c r="N197" s="3">
        <v>102.68</v>
      </c>
      <c r="O197" s="3">
        <v>56.69</v>
      </c>
      <c r="P197" s="3">
        <v>52.54</v>
      </c>
      <c r="Q197" s="3">
        <v>28.7</v>
      </c>
      <c r="R197" s="3">
        <v>30.8125</v>
      </c>
      <c r="S197" s="3">
        <v>31.752500000000001</v>
      </c>
      <c r="T197" s="3">
        <v>0</v>
      </c>
      <c r="U197" s="3">
        <v>5725</v>
      </c>
      <c r="V197" s="3">
        <v>300</v>
      </c>
    </row>
    <row r="198" spans="1:22" x14ac:dyDescent="0.25">
      <c r="A198" s="3">
        <v>5</v>
      </c>
      <c r="B198" s="3">
        <v>2017</v>
      </c>
      <c r="C198" s="2">
        <v>0.4</v>
      </c>
      <c r="D198" t="str">
        <f>IF(C198&gt;=0.5,"El Niño",IF(C198&lt;=-0.5,"La Niña","Neutro"))</f>
        <v>Neutro</v>
      </c>
      <c r="E198" s="2">
        <v>126.4993437055483</v>
      </c>
      <c r="F198" s="2">
        <v>120.7659746533039</v>
      </c>
      <c r="G198" s="2">
        <v>82.097076861313525</v>
      </c>
      <c r="H198" s="3">
        <v>0.62088500000000002</v>
      </c>
      <c r="I198" s="3">
        <v>0.37951770000000001</v>
      </c>
      <c r="J198" s="3">
        <v>0.25568580000000002</v>
      </c>
      <c r="K198" s="3">
        <v>114.89327765487801</v>
      </c>
      <c r="L198" s="3">
        <v>78.597127049081095</v>
      </c>
      <c r="M198" s="3">
        <v>50.946799533696911</v>
      </c>
      <c r="N198" s="3">
        <v>93.53</v>
      </c>
      <c r="O198" s="3">
        <v>15.53</v>
      </c>
      <c r="P198" s="3">
        <v>27.23</v>
      </c>
      <c r="Q198" s="3">
        <v>27.2075</v>
      </c>
      <c r="R198" s="3">
        <v>31.53</v>
      </c>
      <c r="S198" s="3">
        <v>32.662500000000001</v>
      </c>
      <c r="T198" s="3">
        <v>0</v>
      </c>
      <c r="U198" s="3">
        <v>10675</v>
      </c>
      <c r="V198" s="3">
        <v>475</v>
      </c>
    </row>
    <row r="199" spans="1:22" x14ac:dyDescent="0.25">
      <c r="A199" s="3">
        <v>6</v>
      </c>
      <c r="B199" s="3">
        <v>2017</v>
      </c>
      <c r="C199" s="2">
        <v>0.39</v>
      </c>
      <c r="D199" t="str">
        <f>IF(C199&gt;=0.5,"El Niño",IF(C199&lt;=-0.5,"La Niña","Neutro"))</f>
        <v>Neutro</v>
      </c>
      <c r="E199" s="2">
        <v>127.4371568669023</v>
      </c>
      <c r="F199" s="2">
        <v>98.181337834211377</v>
      </c>
      <c r="G199" s="2">
        <v>77.131380475196153</v>
      </c>
      <c r="H199" s="3">
        <v>0.60988439999999999</v>
      </c>
      <c r="I199" s="3">
        <v>0.23844019999999999</v>
      </c>
      <c r="J199" s="3">
        <v>0.2193715</v>
      </c>
      <c r="K199" s="3">
        <v>101.5652122050812</v>
      </c>
      <c r="L199" s="3">
        <v>48.000441697539081</v>
      </c>
      <c r="M199" s="3">
        <v>37.414279657618223</v>
      </c>
      <c r="N199" s="3">
        <v>91.68</v>
      </c>
      <c r="O199" s="3">
        <v>1.1100000000000001</v>
      </c>
      <c r="P199" s="3">
        <v>25.19</v>
      </c>
      <c r="Q199" s="3">
        <v>25.872499999999999</v>
      </c>
      <c r="R199" s="3">
        <v>31.03</v>
      </c>
      <c r="S199" s="3">
        <v>31.607500000000002</v>
      </c>
      <c r="T199" s="3">
        <v>0</v>
      </c>
      <c r="U199" s="3">
        <v>7125</v>
      </c>
      <c r="V199" s="3">
        <v>0</v>
      </c>
    </row>
    <row r="200" spans="1:22" x14ac:dyDescent="0.25">
      <c r="A200" s="3">
        <v>7</v>
      </c>
      <c r="B200" s="3">
        <v>2017</v>
      </c>
      <c r="C200" s="2">
        <v>0.19</v>
      </c>
      <c r="D200" t="str">
        <f>IF(C200&gt;=0.5,"El Niño",IF(C200&lt;=-0.5,"La Niña","Neutro"))</f>
        <v>Neutro</v>
      </c>
      <c r="E200" s="2">
        <v>127.0809075174145</v>
      </c>
      <c r="F200" s="2">
        <v>95.886055079932291</v>
      </c>
      <c r="G200" s="2">
        <v>80.734457507703738</v>
      </c>
      <c r="H200" s="3">
        <v>0.59319509999999998</v>
      </c>
      <c r="I200" s="3">
        <v>0.17722840000000001</v>
      </c>
      <c r="J200" s="3">
        <v>0.1960858</v>
      </c>
      <c r="K200" s="3">
        <v>88.103329987428495</v>
      </c>
      <c r="L200" s="3">
        <v>36.069612460350143</v>
      </c>
      <c r="M200" s="3">
        <v>34.17937495363806</v>
      </c>
      <c r="N200" s="3">
        <v>117.86</v>
      </c>
      <c r="O200" s="3">
        <v>2.4</v>
      </c>
      <c r="P200" s="3">
        <v>34.119999999999997</v>
      </c>
      <c r="Q200" s="3">
        <v>23.682500000000001</v>
      </c>
      <c r="R200" s="3">
        <v>30.215</v>
      </c>
      <c r="S200" s="3">
        <v>30.195</v>
      </c>
      <c r="T200" s="3">
        <v>675</v>
      </c>
      <c r="U200" s="3">
        <v>6700</v>
      </c>
      <c r="V200" s="3">
        <v>1550</v>
      </c>
    </row>
    <row r="201" spans="1:22" x14ac:dyDescent="0.25">
      <c r="A201" s="3">
        <v>8</v>
      </c>
      <c r="B201" s="3">
        <v>2017</v>
      </c>
      <c r="C201" s="2">
        <v>-7.0000000000000007E-2</v>
      </c>
      <c r="D201" t="str">
        <f>IF(C201&gt;=0.5,"El Niño",IF(C201&lt;=-0.5,"La Niña","Neutro"))</f>
        <v>Neutro</v>
      </c>
      <c r="E201" s="2">
        <v>149.1892223151678</v>
      </c>
      <c r="F201" s="2">
        <v>54.018832865556782</v>
      </c>
      <c r="G201" s="2">
        <v>63.814339733419487</v>
      </c>
      <c r="H201" s="3">
        <v>0.52360039999999997</v>
      </c>
      <c r="I201" s="3">
        <v>0.1012007</v>
      </c>
      <c r="J201" s="3">
        <v>0.13808229999999999</v>
      </c>
      <c r="K201" s="3">
        <v>97.159526960521575</v>
      </c>
      <c r="L201" s="3">
        <v>24.820504330209769</v>
      </c>
      <c r="M201" s="3">
        <v>28.112681067865431</v>
      </c>
      <c r="N201" s="3">
        <v>38.85</v>
      </c>
      <c r="O201" s="3">
        <v>0.46</v>
      </c>
      <c r="P201" s="3">
        <v>7.64</v>
      </c>
      <c r="Q201" s="3">
        <v>26.324999999999999</v>
      </c>
      <c r="R201" s="3">
        <v>35.96</v>
      </c>
      <c r="S201" s="3">
        <v>34.590000000000003</v>
      </c>
      <c r="T201" s="3">
        <v>1825</v>
      </c>
      <c r="U201" s="3">
        <v>60275</v>
      </c>
      <c r="V201" s="3">
        <v>7650</v>
      </c>
    </row>
    <row r="202" spans="1:22" x14ac:dyDescent="0.25">
      <c r="A202" s="3">
        <v>9</v>
      </c>
      <c r="B202" s="3">
        <v>2017</v>
      </c>
      <c r="C202" s="2">
        <v>-0.34</v>
      </c>
      <c r="D202" t="str">
        <f>IF(C202&gt;=0.5,"El Niño",IF(C202&lt;=-0.5,"La Niña","Neutro"))</f>
        <v>Neutro</v>
      </c>
      <c r="E202" s="2">
        <v>145.04057480214789</v>
      </c>
      <c r="F202" s="2">
        <v>42.451199841810137</v>
      </c>
      <c r="G202" s="2">
        <v>62.059893871734651</v>
      </c>
      <c r="H202" s="3">
        <v>0.47710180000000002</v>
      </c>
      <c r="I202" s="3">
        <v>8.4799630000000001E-2</v>
      </c>
      <c r="J202" s="3">
        <v>0.1219074</v>
      </c>
      <c r="K202" s="3">
        <v>90.57761784569206</v>
      </c>
      <c r="L202" s="3">
        <v>22.619126976440111</v>
      </c>
      <c r="M202" s="3">
        <v>26.84208602483854</v>
      </c>
      <c r="N202" s="3">
        <v>74.5</v>
      </c>
      <c r="O202" s="3">
        <v>4.4000000000000004</v>
      </c>
      <c r="P202" s="3">
        <v>36.630000000000003</v>
      </c>
      <c r="Q202" s="3">
        <v>29.142499999999998</v>
      </c>
      <c r="R202" s="3">
        <v>39.222499999999997</v>
      </c>
      <c r="S202" s="3">
        <v>37.412500000000001</v>
      </c>
      <c r="T202" s="3">
        <v>10625</v>
      </c>
      <c r="U202" s="3">
        <v>109250</v>
      </c>
      <c r="V202" s="3">
        <v>33275</v>
      </c>
    </row>
    <row r="203" spans="1:22" x14ac:dyDescent="0.25">
      <c r="A203" s="3">
        <v>10</v>
      </c>
      <c r="B203" s="3">
        <v>2017</v>
      </c>
      <c r="C203" s="2">
        <v>-0.6</v>
      </c>
      <c r="D203" t="str">
        <f>IF(C203&gt;=0.5,"El Niño",IF(C203&lt;=-0.5,"La Niña","Neutro"))</f>
        <v>La Niña</v>
      </c>
      <c r="E203" s="2">
        <v>131.05762997714049</v>
      </c>
      <c r="F203" s="2">
        <v>19.861961594569891</v>
      </c>
      <c r="G203" s="2">
        <v>42.639419664170283</v>
      </c>
      <c r="H203" s="3">
        <v>0.43810490000000002</v>
      </c>
      <c r="I203" s="3">
        <v>0.1131108</v>
      </c>
      <c r="J203" s="3">
        <v>0.1137074</v>
      </c>
      <c r="K203" s="3">
        <v>96.730196173974065</v>
      </c>
      <c r="L203" s="3">
        <v>28.083460455055409</v>
      </c>
      <c r="M203" s="3">
        <v>27.54213499510599</v>
      </c>
      <c r="N203" s="3">
        <v>19</v>
      </c>
      <c r="O203" s="3">
        <v>23.47</v>
      </c>
      <c r="P203" s="3">
        <v>9.9499999999999993</v>
      </c>
      <c r="Q203" s="3">
        <v>32.872500000000002</v>
      </c>
      <c r="R203" s="3">
        <v>41.727500000000013</v>
      </c>
      <c r="S203" s="3">
        <v>39.935000000000002</v>
      </c>
      <c r="T203" s="3">
        <v>1550</v>
      </c>
      <c r="U203" s="3">
        <v>299000</v>
      </c>
      <c r="V203" s="3">
        <v>76225</v>
      </c>
    </row>
    <row r="204" spans="1:22" x14ac:dyDescent="0.25">
      <c r="A204" s="3">
        <v>11</v>
      </c>
      <c r="B204" s="3">
        <v>2017</v>
      </c>
      <c r="C204" s="2">
        <v>-0.77</v>
      </c>
      <c r="D204" t="str">
        <f>IF(C204&gt;=0.5,"El Niño",IF(C204&lt;=-0.5,"La Niña","Neutro"))</f>
        <v>La Niña</v>
      </c>
      <c r="E204" s="2">
        <v>121.3256324905266</v>
      </c>
      <c r="F204" s="2">
        <v>92.611422155054314</v>
      </c>
      <c r="G204" s="2">
        <v>73.69335640434592</v>
      </c>
      <c r="H204" s="3">
        <v>0.5034843</v>
      </c>
      <c r="I204" s="3">
        <v>0.4200506</v>
      </c>
      <c r="J204" s="3">
        <v>0.2543241</v>
      </c>
      <c r="K204" s="3">
        <v>107.5246276787542</v>
      </c>
      <c r="L204" s="3">
        <v>79.481576430422038</v>
      </c>
      <c r="M204" s="3">
        <v>57.584974510734561</v>
      </c>
      <c r="N204" s="3">
        <v>111.86</v>
      </c>
      <c r="O204" s="3">
        <v>150.63</v>
      </c>
      <c r="P204" s="3">
        <v>82.51</v>
      </c>
      <c r="Q204" s="3">
        <v>32.282499999999999</v>
      </c>
      <c r="R204" s="3">
        <v>35.655000000000001</v>
      </c>
      <c r="S204" s="3">
        <v>37.255000000000003</v>
      </c>
      <c r="T204" s="3">
        <v>650</v>
      </c>
      <c r="U204" s="3">
        <v>16800</v>
      </c>
      <c r="V204" s="3">
        <v>4475</v>
      </c>
    </row>
    <row r="205" spans="1:22" x14ac:dyDescent="0.25">
      <c r="A205" s="3">
        <v>12</v>
      </c>
      <c r="B205" s="3">
        <v>2017</v>
      </c>
      <c r="C205" s="2">
        <v>-0.86</v>
      </c>
      <c r="D205" t="str">
        <f>IF(C205&gt;=0.5,"El Niño",IF(C205&lt;=-0.5,"La Niña","Neutro"))</f>
        <v>La Niña</v>
      </c>
      <c r="E205" s="2">
        <v>120.5378432294698</v>
      </c>
      <c r="F205" s="2">
        <v>108.6845730588955</v>
      </c>
      <c r="G205" s="2">
        <v>82.226865593368274</v>
      </c>
      <c r="H205" s="3">
        <v>0.53737650000000003</v>
      </c>
      <c r="I205" s="3">
        <v>0.4941333</v>
      </c>
      <c r="J205" s="3">
        <v>0.30162860000000002</v>
      </c>
      <c r="K205" s="3">
        <v>104.7734854258232</v>
      </c>
      <c r="L205" s="3">
        <v>91.871985600942722</v>
      </c>
      <c r="M205" s="3">
        <v>64.604902514792101</v>
      </c>
      <c r="N205" s="3">
        <v>141.9</v>
      </c>
      <c r="O205" s="3">
        <v>156.77000000000001</v>
      </c>
      <c r="P205" s="3">
        <v>83.01</v>
      </c>
      <c r="Q205" s="3">
        <v>30.807500000000001</v>
      </c>
      <c r="R205" s="3">
        <v>33.4925</v>
      </c>
      <c r="S205" s="3">
        <v>34.770000000000003</v>
      </c>
      <c r="T205" s="3">
        <v>25</v>
      </c>
      <c r="U205" s="3">
        <v>12400</v>
      </c>
      <c r="V205" s="3">
        <v>1550</v>
      </c>
    </row>
    <row r="206" spans="1:22" x14ac:dyDescent="0.25">
      <c r="A206" s="3">
        <v>1</v>
      </c>
      <c r="B206" s="3">
        <v>2018</v>
      </c>
      <c r="C206" s="2">
        <v>-0.77</v>
      </c>
      <c r="D206" t="str">
        <f>IF(C206&gt;=0.5,"El Niño",IF(C206&lt;=-0.5,"La Niña","Neutro"))</f>
        <v>La Niña</v>
      </c>
      <c r="E206" s="2">
        <v>147.94920589335069</v>
      </c>
      <c r="F206" s="2">
        <v>128.9372416047392</v>
      </c>
      <c r="G206" s="2">
        <v>77.910850328162155</v>
      </c>
      <c r="H206" s="3">
        <v>0.46473999999999999</v>
      </c>
      <c r="I206" s="3">
        <v>0.45874229999999999</v>
      </c>
      <c r="J206" s="3">
        <v>0.2476508</v>
      </c>
      <c r="K206" s="3">
        <v>114.7906963055363</v>
      </c>
      <c r="L206" s="3">
        <v>105.0919759961904</v>
      </c>
      <c r="M206" s="3">
        <v>60.435510620577517</v>
      </c>
      <c r="N206" s="3">
        <v>51.88</v>
      </c>
      <c r="O206" s="3">
        <v>131.57</v>
      </c>
      <c r="P206" s="3">
        <v>61.01</v>
      </c>
      <c r="Q206" s="3">
        <v>31.823333333333331</v>
      </c>
      <c r="R206" s="3">
        <v>29.79</v>
      </c>
      <c r="S206" s="3">
        <v>34.630000000000003</v>
      </c>
      <c r="T206" s="3">
        <v>1400</v>
      </c>
      <c r="U206" s="3">
        <v>25</v>
      </c>
      <c r="V206" s="3">
        <v>0</v>
      </c>
    </row>
    <row r="207" spans="1:22" x14ac:dyDescent="0.25">
      <c r="A207" s="3">
        <v>2</v>
      </c>
      <c r="B207" s="3">
        <v>2018</v>
      </c>
      <c r="C207" s="2">
        <v>-0.71</v>
      </c>
      <c r="D207" t="str">
        <f>IF(C207&gt;=0.5,"El Niño",IF(C207&lt;=-0.5,"La Niña","Neutro"))</f>
        <v>La Niña</v>
      </c>
      <c r="E207" s="2">
        <v>132.6035802259735</v>
      </c>
      <c r="F207" s="2">
        <v>140.53138212333559</v>
      </c>
      <c r="G207" s="2">
        <v>106.6118569974972</v>
      </c>
      <c r="H207" s="3">
        <v>0.49871769999999999</v>
      </c>
      <c r="I207" s="3">
        <v>0.59666339999999995</v>
      </c>
      <c r="J207" s="3">
        <v>0.3747144</v>
      </c>
      <c r="K207" s="3">
        <v>113.30544784773861</v>
      </c>
      <c r="L207" s="3">
        <v>124.7567265551224</v>
      </c>
      <c r="M207" s="3">
        <v>81.034952829932649</v>
      </c>
      <c r="N207" s="3">
        <v>116.02</v>
      </c>
      <c r="O207" s="3">
        <v>247.73</v>
      </c>
      <c r="P207" s="3">
        <v>132.04</v>
      </c>
      <c r="Q207" s="3">
        <v>30.7075</v>
      </c>
      <c r="R207" s="3">
        <v>29.252500000000001</v>
      </c>
      <c r="S207" s="3">
        <v>31.72</v>
      </c>
      <c r="T207" s="3">
        <v>3075</v>
      </c>
      <c r="U207" s="3">
        <v>8775</v>
      </c>
      <c r="V207" s="3">
        <v>0</v>
      </c>
    </row>
    <row r="208" spans="1:22" x14ac:dyDescent="0.25">
      <c r="A208" s="3">
        <v>3</v>
      </c>
      <c r="B208" s="3">
        <v>2018</v>
      </c>
      <c r="C208" s="2">
        <v>-0.56999999999999995</v>
      </c>
      <c r="D208" t="str">
        <f>IF(C208&gt;=0.5,"El Niño",IF(C208&lt;=-0.5,"La Niña","Neutro"))</f>
        <v>La Niña</v>
      </c>
      <c r="E208" s="2">
        <v>128.71071889781081</v>
      </c>
      <c r="F208" s="2">
        <v>141.60829608944181</v>
      </c>
      <c r="G208" s="2">
        <v>131.4365965896213</v>
      </c>
      <c r="H208" s="3">
        <v>0.54875430000000003</v>
      </c>
      <c r="I208" s="3">
        <v>0.59878710000000002</v>
      </c>
      <c r="J208" s="3">
        <v>0.48413309999999998</v>
      </c>
      <c r="K208" s="3">
        <v>118.7692115034157</v>
      </c>
      <c r="L208" s="3">
        <v>126.1787480729961</v>
      </c>
      <c r="M208" s="3">
        <v>106.8126534467047</v>
      </c>
      <c r="N208" s="3">
        <v>115.23</v>
      </c>
      <c r="O208" s="3">
        <v>170.84</v>
      </c>
      <c r="P208" s="3">
        <v>113.31</v>
      </c>
      <c r="Q208" s="3">
        <v>30.2075</v>
      </c>
      <c r="R208" s="3">
        <v>29.965</v>
      </c>
      <c r="S208" s="3">
        <v>30.54</v>
      </c>
      <c r="T208" s="3">
        <v>1225</v>
      </c>
      <c r="U208" s="3">
        <v>24850</v>
      </c>
      <c r="V208" s="3">
        <v>0</v>
      </c>
    </row>
    <row r="209" spans="1:22" x14ac:dyDescent="0.25">
      <c r="A209" s="3">
        <v>4</v>
      </c>
      <c r="B209" s="3">
        <v>2018</v>
      </c>
      <c r="C209" s="2">
        <v>-0.39</v>
      </c>
      <c r="D209" t="str">
        <f>IF(C209&gt;=0.5,"El Niño",IF(C209&lt;=-0.5,"La Niña","Neutro"))</f>
        <v>Neutro</v>
      </c>
      <c r="E209" s="2">
        <v>142.17883358839831</v>
      </c>
      <c r="F209" s="2">
        <v>147.48616605495889</v>
      </c>
      <c r="G209" s="2">
        <v>133.6061761273491</v>
      </c>
      <c r="H209" s="3">
        <v>0.59164519999999998</v>
      </c>
      <c r="I209" s="3">
        <v>0.60677630000000005</v>
      </c>
      <c r="J209" s="3">
        <v>0.44561299999999998</v>
      </c>
      <c r="K209" s="3">
        <v>109.6122506894838</v>
      </c>
      <c r="L209" s="3">
        <v>121.0767684044004</v>
      </c>
      <c r="M209" s="3">
        <v>91.753388266072591</v>
      </c>
      <c r="N209" s="3">
        <v>114.8</v>
      </c>
      <c r="O209" s="3">
        <v>70.22</v>
      </c>
      <c r="P209" s="3">
        <v>40.46</v>
      </c>
      <c r="Q209" s="3">
        <v>27.147500000000001</v>
      </c>
      <c r="R209" s="3">
        <v>29.524999999999999</v>
      </c>
      <c r="S209" s="3">
        <v>29.672499999999999</v>
      </c>
      <c r="T209" s="3">
        <v>800</v>
      </c>
      <c r="U209" s="3">
        <v>4275</v>
      </c>
      <c r="V209" s="3">
        <v>325</v>
      </c>
    </row>
    <row r="210" spans="1:22" x14ac:dyDescent="0.25">
      <c r="A210" s="3">
        <v>5</v>
      </c>
      <c r="B210" s="3">
        <v>2018</v>
      </c>
      <c r="C210" s="2">
        <v>-0.13</v>
      </c>
      <c r="D210" t="str">
        <f>IF(C210&gt;=0.5,"El Niño",IF(C210&lt;=-0.5,"La Niña","Neutro"))</f>
        <v>Neutro</v>
      </c>
      <c r="E210" s="2">
        <v>138.56334831599281</v>
      </c>
      <c r="F210" s="2">
        <v>147.44933788263691</v>
      </c>
      <c r="G210" s="2">
        <v>108.5830124851109</v>
      </c>
      <c r="H210" s="3">
        <v>0.6381928</v>
      </c>
      <c r="I210" s="3">
        <v>0.45576909999999998</v>
      </c>
      <c r="J210" s="3">
        <v>0.3237006</v>
      </c>
      <c r="K210" s="3">
        <v>112.9583267227349</v>
      </c>
      <c r="L210" s="3">
        <v>89.650834362413946</v>
      </c>
      <c r="M210" s="3">
        <v>62.133613746412408</v>
      </c>
      <c r="N210" s="3">
        <v>104.09</v>
      </c>
      <c r="O210" s="3">
        <v>3.71</v>
      </c>
      <c r="P210" s="3">
        <v>26.92</v>
      </c>
      <c r="Q210" s="3">
        <v>26.3125</v>
      </c>
      <c r="R210" s="3">
        <v>30.567499999999999</v>
      </c>
      <c r="S210" s="3">
        <v>31.074999999999999</v>
      </c>
      <c r="T210" s="3">
        <v>0</v>
      </c>
      <c r="U210" s="3">
        <v>1575</v>
      </c>
      <c r="V210" s="3">
        <v>800</v>
      </c>
    </row>
    <row r="211" spans="1:22" x14ac:dyDescent="0.25">
      <c r="A211" s="3">
        <v>6</v>
      </c>
      <c r="B211" s="3">
        <v>2018</v>
      </c>
      <c r="C211" s="2">
        <v>0.06</v>
      </c>
      <c r="D211" t="str">
        <f>IF(C211&gt;=0.5,"El Niño",IF(C211&lt;=-0.5,"La Niña","Neutro"))</f>
        <v>Neutro</v>
      </c>
      <c r="E211" s="2">
        <v>131.09219578198301</v>
      </c>
      <c r="F211" s="2">
        <v>118.8472789932346</v>
      </c>
      <c r="G211" s="2">
        <v>91.236258421060242</v>
      </c>
      <c r="H211" s="3">
        <v>0.6436383</v>
      </c>
      <c r="I211" s="3">
        <v>0.34150190000000002</v>
      </c>
      <c r="J211" s="3">
        <v>0.26311820000000002</v>
      </c>
      <c r="K211" s="3">
        <v>100.63464980070751</v>
      </c>
      <c r="L211" s="3">
        <v>62.624512094723841</v>
      </c>
      <c r="M211" s="3">
        <v>44.92390412441825</v>
      </c>
      <c r="N211" s="3">
        <v>93.62</v>
      </c>
      <c r="O211" s="3">
        <v>2.17</v>
      </c>
      <c r="P211" s="3">
        <v>30.03</v>
      </c>
      <c r="Q211" s="3">
        <v>25.3325</v>
      </c>
      <c r="R211" s="3">
        <v>30.53</v>
      </c>
      <c r="S211" s="3">
        <v>30.725000000000001</v>
      </c>
      <c r="T211" s="3">
        <v>0</v>
      </c>
      <c r="U211" s="3">
        <v>6500</v>
      </c>
      <c r="V211" s="3">
        <v>1175</v>
      </c>
    </row>
    <row r="212" spans="1:22" x14ac:dyDescent="0.25">
      <c r="A212" s="3">
        <v>7</v>
      </c>
      <c r="B212" s="3">
        <v>2018</v>
      </c>
      <c r="C212" s="2">
        <v>0.14000000000000001</v>
      </c>
      <c r="D212" t="str">
        <f>IF(C212&gt;=0.5,"El Niño",IF(C212&lt;=-0.5,"La Niña","Neutro"))</f>
        <v>Neutro</v>
      </c>
      <c r="E212" s="2">
        <v>145.2982953691247</v>
      </c>
      <c r="F212" s="2">
        <v>95.909295268226643</v>
      </c>
      <c r="G212" s="2">
        <v>76.030838862982051</v>
      </c>
      <c r="H212" s="3">
        <v>0.57957829999999999</v>
      </c>
      <c r="I212" s="3">
        <v>0.20180680000000001</v>
      </c>
      <c r="J212" s="3">
        <v>0.16944039999999999</v>
      </c>
      <c r="K212" s="3">
        <v>99.915904807383086</v>
      </c>
      <c r="L212" s="3">
        <v>40.707745748484633</v>
      </c>
      <c r="M212" s="3">
        <v>31.435817227522978</v>
      </c>
      <c r="N212" s="3">
        <v>43.24</v>
      </c>
      <c r="O212" s="3">
        <v>0.21</v>
      </c>
      <c r="P212" s="3">
        <v>6.02</v>
      </c>
      <c r="Q212" s="3">
        <v>25.2775</v>
      </c>
      <c r="R212" s="3">
        <v>32.0625</v>
      </c>
      <c r="S212" s="3">
        <v>31.8</v>
      </c>
      <c r="T212" s="3">
        <v>1300</v>
      </c>
      <c r="U212" s="3">
        <v>5575</v>
      </c>
      <c r="V212" s="3">
        <v>1150</v>
      </c>
    </row>
    <row r="213" spans="1:22" x14ac:dyDescent="0.25">
      <c r="A213" s="3">
        <v>8</v>
      </c>
      <c r="B213" s="3">
        <v>2018</v>
      </c>
      <c r="C213" s="2">
        <v>0.27</v>
      </c>
      <c r="D213" t="str">
        <f>IF(C213&gt;=0.5,"El Niño",IF(C213&lt;=-0.5,"La Niña","Neutro"))</f>
        <v>Neutro</v>
      </c>
      <c r="E213" s="2">
        <v>133.9300613697954</v>
      </c>
      <c r="F213" s="2">
        <v>65.549278763213593</v>
      </c>
      <c r="G213" s="2">
        <v>55.343582452849297</v>
      </c>
      <c r="H213" s="3">
        <v>0.50509530000000002</v>
      </c>
      <c r="I213" s="3">
        <v>0.14969089999999999</v>
      </c>
      <c r="J213" s="3">
        <v>0.12250949999999999</v>
      </c>
      <c r="K213" s="3">
        <v>91.873356202430486</v>
      </c>
      <c r="L213" s="3">
        <v>34.554435942758907</v>
      </c>
      <c r="M213" s="3">
        <v>25.979726731433669</v>
      </c>
      <c r="N213" s="3">
        <v>36.26</v>
      </c>
      <c r="O213" s="3">
        <v>8.14</v>
      </c>
      <c r="P213" s="3">
        <v>8.15</v>
      </c>
      <c r="Q213" s="3">
        <v>28.387499999999999</v>
      </c>
      <c r="R213" s="3">
        <v>35.542499999999997</v>
      </c>
      <c r="S213" s="3">
        <v>35.022500000000001</v>
      </c>
      <c r="T213" s="3">
        <v>475</v>
      </c>
      <c r="U213" s="3">
        <v>23475</v>
      </c>
      <c r="V213" s="3">
        <v>8700</v>
      </c>
    </row>
    <row r="214" spans="1:22" x14ac:dyDescent="0.25">
      <c r="A214" s="3">
        <v>9</v>
      </c>
      <c r="B214" s="3">
        <v>2018</v>
      </c>
      <c r="C214" s="2">
        <v>0.53</v>
      </c>
      <c r="D214" t="str">
        <f>IF(C214&gt;=0.5,"El Niño",IF(C214&lt;=-0.5,"La Niña","Neutro"))</f>
        <v>El Niño</v>
      </c>
      <c r="E214" s="2">
        <v>135.69178677850979</v>
      </c>
      <c r="F214" s="2">
        <v>31.30041968737326</v>
      </c>
      <c r="G214" s="2">
        <v>40.759782535311793</v>
      </c>
      <c r="H214" s="3">
        <v>0.41619479999999998</v>
      </c>
      <c r="I214" s="3">
        <v>9.4623369999999998E-2</v>
      </c>
      <c r="J214" s="3">
        <v>8.7364830000000004E-2</v>
      </c>
      <c r="K214" s="3">
        <v>91.189917651759529</v>
      </c>
      <c r="L214" s="3">
        <v>25.67149083512918</v>
      </c>
      <c r="M214" s="3">
        <v>21.40845641736659</v>
      </c>
      <c r="N214" s="3">
        <v>24.68</v>
      </c>
      <c r="O214" s="3">
        <v>4</v>
      </c>
      <c r="P214" s="3">
        <v>4.42</v>
      </c>
      <c r="Q214" s="3">
        <v>32.950000000000003</v>
      </c>
      <c r="R214" s="3">
        <v>39.645000000000003</v>
      </c>
      <c r="S214" s="3">
        <v>38.207500000000003</v>
      </c>
      <c r="T214" s="3">
        <v>10625</v>
      </c>
      <c r="U214" s="3">
        <v>111525</v>
      </c>
      <c r="V214" s="3">
        <v>33275</v>
      </c>
    </row>
    <row r="215" spans="1:22" x14ac:dyDescent="0.25">
      <c r="A215" s="3">
        <v>10</v>
      </c>
      <c r="B215" s="3">
        <v>2018</v>
      </c>
      <c r="C215" s="2">
        <v>0.81</v>
      </c>
      <c r="D215" t="str">
        <f>IF(C215&gt;=0.5,"El Niño",IF(C215&lt;=-0.5,"La Niña","Neutro"))</f>
        <v>El Niño</v>
      </c>
      <c r="E215" s="2">
        <v>103.2792325691663</v>
      </c>
      <c r="F215" s="2">
        <v>53.871401332103858</v>
      </c>
      <c r="G215" s="2">
        <v>40.985137883559098</v>
      </c>
      <c r="H215" s="3">
        <v>0.4395464</v>
      </c>
      <c r="I215" s="3">
        <v>0.29032289999999999</v>
      </c>
      <c r="J215" s="3">
        <v>0.14025000000000001</v>
      </c>
      <c r="K215" s="3">
        <v>86.234716069114057</v>
      </c>
      <c r="L215" s="3">
        <v>58.597359500230027</v>
      </c>
      <c r="M215" s="3">
        <v>32.506007662761313</v>
      </c>
      <c r="N215" s="3">
        <v>61.27</v>
      </c>
      <c r="O215" s="3">
        <v>102.44</v>
      </c>
      <c r="P215" s="3">
        <v>41.97</v>
      </c>
      <c r="Q215" s="3">
        <v>35.402500000000003</v>
      </c>
      <c r="R215" s="3">
        <v>38.172499999999999</v>
      </c>
      <c r="S215" s="3">
        <v>40.145000000000003</v>
      </c>
      <c r="T215" s="3">
        <v>10525</v>
      </c>
      <c r="U215" s="3">
        <v>116900</v>
      </c>
      <c r="V215" s="3">
        <v>28375</v>
      </c>
    </row>
    <row r="216" spans="1:22" x14ac:dyDescent="0.25">
      <c r="A216" s="3">
        <v>11</v>
      </c>
      <c r="B216" s="3">
        <v>2018</v>
      </c>
      <c r="C216" s="2">
        <v>0.97</v>
      </c>
      <c r="D216" t="str">
        <f>IF(C216&gt;=0.5,"El Niño",IF(C216&lt;=-0.5,"La Niña","Neutro"))</f>
        <v>El Niño</v>
      </c>
      <c r="E216" s="2">
        <v>120.4505867137477</v>
      </c>
      <c r="F216" s="2">
        <v>110.4182426801881</v>
      </c>
      <c r="G216" s="2">
        <v>78.267643658344866</v>
      </c>
      <c r="H216" s="3">
        <v>0.55989960000000005</v>
      </c>
      <c r="I216" s="3">
        <v>0.52203940000000004</v>
      </c>
      <c r="J216" s="3">
        <v>0.31508619999999998</v>
      </c>
      <c r="K216" s="3">
        <v>98.587307845984427</v>
      </c>
      <c r="L216" s="3">
        <v>100.04764542321441</v>
      </c>
      <c r="M216" s="3">
        <v>64.698974157328436</v>
      </c>
      <c r="N216" s="3">
        <v>148.58000000000001</v>
      </c>
      <c r="O216" s="3">
        <v>204.89</v>
      </c>
      <c r="P216" s="3">
        <v>66.62</v>
      </c>
      <c r="Q216" s="3">
        <v>28.945</v>
      </c>
      <c r="R216" s="3">
        <v>31.864999999999998</v>
      </c>
      <c r="S216" s="3">
        <v>34.075000000000003</v>
      </c>
      <c r="T216" s="3">
        <v>475</v>
      </c>
      <c r="U216" s="3">
        <v>17775</v>
      </c>
      <c r="V216" s="3">
        <v>2025</v>
      </c>
    </row>
    <row r="217" spans="1:22" x14ac:dyDescent="0.25">
      <c r="A217" s="3">
        <v>12</v>
      </c>
      <c r="B217" s="3">
        <v>2018</v>
      </c>
      <c r="C217" s="2">
        <v>0.92</v>
      </c>
      <c r="D217" t="str">
        <f>IF(C217&gt;=0.5,"El Niño",IF(C217&lt;=-0.5,"La Niña","Neutro"))</f>
        <v>El Niño</v>
      </c>
      <c r="E217" s="2">
        <v>125.0924290026252</v>
      </c>
      <c r="F217" s="2">
        <v>117.19124548281199</v>
      </c>
      <c r="G217" s="2">
        <v>106.0189761992024</v>
      </c>
      <c r="H217" s="3">
        <v>0.54805159999999997</v>
      </c>
      <c r="I217" s="3">
        <v>0.51317290000000004</v>
      </c>
      <c r="J217" s="3">
        <v>0.39935939999999998</v>
      </c>
      <c r="K217" s="3">
        <v>113.5247914006997</v>
      </c>
      <c r="L217" s="3">
        <v>102.3284326900571</v>
      </c>
      <c r="M217" s="3">
        <v>85.73040534957957</v>
      </c>
      <c r="N217" s="3">
        <v>165.84</v>
      </c>
      <c r="O217" s="3">
        <v>166.63</v>
      </c>
      <c r="P217" s="3">
        <v>137.19</v>
      </c>
      <c r="Q217" s="3">
        <v>30.274999999999999</v>
      </c>
      <c r="R217" s="3">
        <v>31.22</v>
      </c>
      <c r="S217" s="3">
        <v>32.262500000000003</v>
      </c>
      <c r="T217" s="3">
        <v>325</v>
      </c>
      <c r="U217" s="3">
        <v>23300</v>
      </c>
      <c r="V217" s="3">
        <v>325</v>
      </c>
    </row>
    <row r="218" spans="1:22" x14ac:dyDescent="0.25">
      <c r="A218" s="3">
        <v>1</v>
      </c>
      <c r="B218" s="3">
        <v>2019</v>
      </c>
      <c r="C218" s="2">
        <v>0.89</v>
      </c>
      <c r="D218" t="str">
        <f>IF(C218&gt;=0.5,"El Niño",IF(C218&lt;=-0.5,"La Niña","Neutro"))</f>
        <v>El Niño</v>
      </c>
      <c r="E218" s="2">
        <v>136.40556934748329</v>
      </c>
      <c r="F218" s="2">
        <v>125.3466466373558</v>
      </c>
      <c r="G218" s="2">
        <v>85.640582095994048</v>
      </c>
      <c r="H218" s="3">
        <v>0.44606489999999999</v>
      </c>
      <c r="I218" s="3">
        <v>0.49861689999999997</v>
      </c>
      <c r="J218" s="3">
        <v>0.2953691</v>
      </c>
      <c r="K218" s="3">
        <v>105.6363398399813</v>
      </c>
      <c r="L218" s="3">
        <v>109.42671331832091</v>
      </c>
      <c r="M218" s="3">
        <v>69.189617519294103</v>
      </c>
      <c r="N218" s="3">
        <v>14.62</v>
      </c>
      <c r="O218" s="3">
        <v>37.619999999999997</v>
      </c>
      <c r="P218" s="3">
        <v>12.86</v>
      </c>
      <c r="Q218" s="3">
        <v>31.323333333333331</v>
      </c>
      <c r="R218" s="3">
        <v>32.286666666666669</v>
      </c>
      <c r="S218" s="3">
        <v>33.843333333333327</v>
      </c>
      <c r="T218" s="3">
        <v>1125</v>
      </c>
      <c r="U218" s="3">
        <v>7500</v>
      </c>
      <c r="V218" s="3">
        <v>3275</v>
      </c>
    </row>
    <row r="219" spans="1:22" x14ac:dyDescent="0.25">
      <c r="A219" s="3">
        <v>2</v>
      </c>
      <c r="B219" s="3">
        <v>2019</v>
      </c>
      <c r="C219" s="2">
        <v>0.86</v>
      </c>
      <c r="D219" t="str">
        <f>IF(C219&gt;=0.5,"El Niño",IF(C219&lt;=-0.5,"La Niña","Neutro"))</f>
        <v>El Niño</v>
      </c>
      <c r="E219" s="2">
        <v>115.0487461981181</v>
      </c>
      <c r="F219" s="2">
        <v>131.20831324012781</v>
      </c>
      <c r="G219" s="2">
        <v>78.597463554953293</v>
      </c>
      <c r="H219" s="3">
        <v>0.39038679999999998</v>
      </c>
      <c r="I219" s="3">
        <v>0.50771770000000005</v>
      </c>
      <c r="J219" s="3">
        <v>0.2693199</v>
      </c>
      <c r="K219" s="3">
        <v>102.7021804254822</v>
      </c>
      <c r="L219" s="3">
        <v>119.57852591265321</v>
      </c>
      <c r="M219" s="3">
        <v>66.393488281209954</v>
      </c>
      <c r="N219" s="3">
        <v>42.49</v>
      </c>
      <c r="O219" s="3">
        <v>143.55000000000001</v>
      </c>
      <c r="P219" s="3">
        <v>87.54</v>
      </c>
      <c r="Q219" s="3">
        <v>33.19</v>
      </c>
      <c r="R219" s="3">
        <v>32.134999999999998</v>
      </c>
      <c r="S219" s="3">
        <v>34.010000000000012</v>
      </c>
      <c r="T219" s="3">
        <v>8525</v>
      </c>
      <c r="U219" s="3">
        <v>2900</v>
      </c>
      <c r="V219" s="3">
        <v>1375</v>
      </c>
    </row>
    <row r="220" spans="1:22" x14ac:dyDescent="0.25">
      <c r="A220" s="3">
        <v>3</v>
      </c>
      <c r="B220" s="3">
        <v>2019</v>
      </c>
      <c r="C220" s="2">
        <v>0.84</v>
      </c>
      <c r="D220" t="str">
        <f>IF(C220&gt;=0.5,"El Niño",IF(C220&lt;=-0.5,"La Niña","Neutro"))</f>
        <v>El Niño</v>
      </c>
      <c r="E220" s="2">
        <v>90.237939794380338</v>
      </c>
      <c r="F220" s="2">
        <v>125.02209068879171</v>
      </c>
      <c r="G220" s="2">
        <v>92.960961544025807</v>
      </c>
      <c r="H220" s="3">
        <v>0.44031330000000002</v>
      </c>
      <c r="I220" s="3">
        <v>0.60499099999999995</v>
      </c>
      <c r="J220" s="3">
        <v>0.34763080000000002</v>
      </c>
      <c r="K220" s="3">
        <v>96.715356923586683</v>
      </c>
      <c r="L220" s="3">
        <v>125.3205057426733</v>
      </c>
      <c r="M220" s="3">
        <v>81.374345067904031</v>
      </c>
      <c r="N220" s="3">
        <v>128.65</v>
      </c>
      <c r="O220" s="3">
        <v>239.46</v>
      </c>
      <c r="P220" s="3">
        <v>145.1</v>
      </c>
      <c r="Q220" s="3">
        <v>32.284999999999997</v>
      </c>
      <c r="R220" s="3">
        <v>30.11</v>
      </c>
      <c r="S220" s="3">
        <v>32.8125</v>
      </c>
      <c r="T220" s="3">
        <v>11550</v>
      </c>
      <c r="U220" s="3">
        <v>8550</v>
      </c>
      <c r="V220" s="3">
        <v>525</v>
      </c>
    </row>
    <row r="221" spans="1:22" x14ac:dyDescent="0.25">
      <c r="A221" s="3">
        <v>4</v>
      </c>
      <c r="B221" s="3">
        <v>2019</v>
      </c>
      <c r="C221" s="2">
        <v>0.77</v>
      </c>
      <c r="D221" t="str">
        <f>IF(C221&gt;=0.5,"El Niño",IF(C221&lt;=-0.5,"La Niña","Neutro"))</f>
        <v>El Niño</v>
      </c>
      <c r="E221" s="2">
        <v>137.72365242800029</v>
      </c>
      <c r="F221" s="2">
        <v>144.78272078481541</v>
      </c>
      <c r="G221" s="2">
        <v>131.903798338212</v>
      </c>
      <c r="H221" s="3">
        <v>0.61023879999999997</v>
      </c>
      <c r="I221" s="3">
        <v>0.56592540000000002</v>
      </c>
      <c r="J221" s="3">
        <v>0.47260390000000002</v>
      </c>
      <c r="K221" s="3">
        <v>128.33068461111159</v>
      </c>
      <c r="L221" s="3">
        <v>122.89751224807701</v>
      </c>
      <c r="M221" s="3">
        <v>104.7012679198311</v>
      </c>
      <c r="N221" s="3">
        <v>102.96</v>
      </c>
      <c r="O221" s="3">
        <v>101.13</v>
      </c>
      <c r="P221" s="3">
        <v>80.47</v>
      </c>
      <c r="Q221" s="3">
        <v>30.002500000000001</v>
      </c>
      <c r="R221" s="3">
        <v>32.500000000000007</v>
      </c>
      <c r="S221" s="3">
        <v>32.522500000000001</v>
      </c>
      <c r="T221" s="3">
        <v>375</v>
      </c>
      <c r="U221" s="3">
        <v>11000</v>
      </c>
      <c r="V221" s="3">
        <v>575</v>
      </c>
    </row>
    <row r="222" spans="1:22" x14ac:dyDescent="0.25">
      <c r="A222" s="3">
        <v>5</v>
      </c>
      <c r="B222" s="3">
        <v>2019</v>
      </c>
      <c r="C222" s="2">
        <v>0.64</v>
      </c>
      <c r="D222" t="str">
        <f>IF(C222&gt;=0.5,"El Niño",IF(C222&lt;=-0.5,"La Niña","Neutro"))</f>
        <v>El Niño</v>
      </c>
      <c r="E222" s="2">
        <v>126.2976248115924</v>
      </c>
      <c r="F222" s="2">
        <v>137.93187364181699</v>
      </c>
      <c r="G222" s="2">
        <v>105.4580807818988</v>
      </c>
      <c r="H222" s="3">
        <v>0.64859049999999996</v>
      </c>
      <c r="I222" s="3">
        <v>0.49241499999999999</v>
      </c>
      <c r="J222" s="3">
        <v>0.35816189999999998</v>
      </c>
      <c r="K222" s="3">
        <v>124.77162055490049</v>
      </c>
      <c r="L222" s="3">
        <v>99.550769389089325</v>
      </c>
      <c r="M222" s="3">
        <v>71.993583990341037</v>
      </c>
      <c r="N222" s="3">
        <v>58.75</v>
      </c>
      <c r="O222" s="3">
        <v>35.67</v>
      </c>
      <c r="P222" s="3">
        <v>21.55</v>
      </c>
      <c r="Q222" s="3">
        <v>27.837499999999999</v>
      </c>
      <c r="R222" s="3">
        <v>30.91</v>
      </c>
      <c r="S222" s="3">
        <v>31.73</v>
      </c>
      <c r="T222" s="3">
        <v>1475</v>
      </c>
      <c r="U222" s="3">
        <v>6000</v>
      </c>
      <c r="V222" s="3">
        <v>600</v>
      </c>
    </row>
    <row r="223" spans="1:22" x14ac:dyDescent="0.25">
      <c r="A223" s="3">
        <v>6</v>
      </c>
      <c r="B223" s="3">
        <v>2019</v>
      </c>
      <c r="C223" s="2">
        <v>0.52</v>
      </c>
      <c r="D223" t="str">
        <f>IF(C223&gt;=0.5,"El Niño",IF(C223&lt;=-0.5,"La Niña","Neutro"))</f>
        <v>El Niño</v>
      </c>
      <c r="E223" s="2">
        <v>125.2464691165756</v>
      </c>
      <c r="F223" s="2">
        <v>127.3458633554409</v>
      </c>
      <c r="G223" s="2">
        <v>96.848737082081527</v>
      </c>
      <c r="H223" s="3">
        <v>0.61889559999999999</v>
      </c>
      <c r="I223" s="3">
        <v>0.37238500000000002</v>
      </c>
      <c r="J223" s="3">
        <v>0.28511940000000002</v>
      </c>
      <c r="K223" s="3">
        <v>100.39217058267469</v>
      </c>
      <c r="L223" s="3">
        <v>68.917075877543439</v>
      </c>
      <c r="M223" s="3">
        <v>49.753162110280797</v>
      </c>
      <c r="N223" s="3">
        <v>86.22</v>
      </c>
      <c r="O223" s="3">
        <v>1.1399999999999999</v>
      </c>
      <c r="P223" s="3">
        <v>33.97</v>
      </c>
      <c r="Q223" s="3">
        <v>26.14</v>
      </c>
      <c r="R223" s="3">
        <v>30.02</v>
      </c>
      <c r="S223" s="3">
        <v>30.774999999999999</v>
      </c>
      <c r="T223" s="3">
        <v>1325</v>
      </c>
      <c r="U223" s="3">
        <v>4650</v>
      </c>
      <c r="V223" s="3">
        <v>1650</v>
      </c>
    </row>
    <row r="224" spans="1:22" x14ac:dyDescent="0.25">
      <c r="A224" s="3">
        <v>7</v>
      </c>
      <c r="B224" s="3">
        <v>2019</v>
      </c>
      <c r="C224" s="2">
        <v>0.33</v>
      </c>
      <c r="D224" t="str">
        <f>IF(C224&gt;=0.5,"El Niño",IF(C224&lt;=-0.5,"La Niña","Neutro"))</f>
        <v>Neutro</v>
      </c>
      <c r="E224" s="2">
        <v>127.5889673144161</v>
      </c>
      <c r="F224" s="2">
        <v>98.89257012108385</v>
      </c>
      <c r="G224" s="2">
        <v>82.909519716251864</v>
      </c>
      <c r="H224" s="3">
        <v>0.57943840000000002</v>
      </c>
      <c r="I224" s="3">
        <v>0.22551969999999999</v>
      </c>
      <c r="J224" s="3">
        <v>0.21737319999999999</v>
      </c>
      <c r="K224" s="3">
        <v>95.729008605147484</v>
      </c>
      <c r="L224" s="3">
        <v>45.432926947383713</v>
      </c>
      <c r="M224" s="3">
        <v>40.674854672288191</v>
      </c>
      <c r="N224" s="3">
        <v>74.23</v>
      </c>
      <c r="O224" s="3">
        <v>0.68</v>
      </c>
      <c r="P224" s="3">
        <v>27.66</v>
      </c>
      <c r="Q224" s="3">
        <v>25.7925</v>
      </c>
      <c r="R224" s="3">
        <v>31.642499999999998</v>
      </c>
      <c r="S224" s="3">
        <v>31.47</v>
      </c>
      <c r="T224" s="3">
        <v>25</v>
      </c>
      <c r="U224" s="3">
        <v>17150</v>
      </c>
      <c r="V224" s="3">
        <v>1325</v>
      </c>
    </row>
    <row r="225" spans="1:22" x14ac:dyDescent="0.25">
      <c r="A225" s="3">
        <v>8</v>
      </c>
      <c r="B225" s="3">
        <v>2019</v>
      </c>
      <c r="C225" s="2">
        <v>0.19</v>
      </c>
      <c r="D225" t="str">
        <f>IF(C225&gt;=0.5,"El Niño",IF(C225&lt;=-0.5,"La Niña","Neutro"))</f>
        <v>Neutro</v>
      </c>
      <c r="E225" s="2">
        <v>151.06406262648849</v>
      </c>
      <c r="F225" s="2">
        <v>78.785902337941152</v>
      </c>
      <c r="G225" s="2">
        <v>75.639859886095664</v>
      </c>
      <c r="H225" s="3">
        <v>0.56893329999999998</v>
      </c>
      <c r="I225" s="3">
        <v>0.16231609999999999</v>
      </c>
      <c r="J225" s="3">
        <v>0.17884079999999999</v>
      </c>
      <c r="K225" s="3">
        <v>98.356477444378399</v>
      </c>
      <c r="L225" s="3">
        <v>37.227511965584313</v>
      </c>
      <c r="M225" s="3">
        <v>35.980960637433668</v>
      </c>
      <c r="N225" s="3">
        <v>81.17</v>
      </c>
      <c r="O225" s="3">
        <v>1.96</v>
      </c>
      <c r="P225" s="3">
        <v>23.01</v>
      </c>
      <c r="Q225" s="3">
        <v>27.067499999999999</v>
      </c>
      <c r="R225" s="3">
        <v>34.732500000000002</v>
      </c>
      <c r="S225" s="3">
        <v>33.795000000000002</v>
      </c>
      <c r="T225" s="3">
        <v>475</v>
      </c>
      <c r="U225" s="3">
        <v>58150</v>
      </c>
      <c r="V225" s="3">
        <v>5125</v>
      </c>
    </row>
    <row r="226" spans="1:22" x14ac:dyDescent="0.25">
      <c r="A226" s="3">
        <v>9</v>
      </c>
      <c r="B226" s="3">
        <v>2019</v>
      </c>
      <c r="C226" s="2">
        <v>0.23</v>
      </c>
      <c r="D226" t="str">
        <f>IF(C226&gt;=0.5,"El Niño",IF(C226&lt;=-0.5,"La Niña","Neutro"))</f>
        <v>Neutro</v>
      </c>
      <c r="E226" s="2">
        <v>152.26988138513789</v>
      </c>
      <c r="F226" s="2">
        <v>44.540952206082643</v>
      </c>
      <c r="G226" s="2">
        <v>55.234486743310171</v>
      </c>
      <c r="H226" s="3">
        <v>0.48651899999999998</v>
      </c>
      <c r="I226" s="3">
        <v>0.10998960000000001</v>
      </c>
      <c r="J226" s="3">
        <v>0.1221587</v>
      </c>
      <c r="K226" s="3">
        <v>102.09280909826241</v>
      </c>
      <c r="L226" s="3">
        <v>29.219999878931699</v>
      </c>
      <c r="M226" s="3">
        <v>29.533033641729421</v>
      </c>
      <c r="N226" s="3">
        <v>56.61</v>
      </c>
      <c r="O226" s="3">
        <v>12.67</v>
      </c>
      <c r="P226" s="3">
        <v>17.95</v>
      </c>
      <c r="Q226" s="3">
        <v>30.815000000000001</v>
      </c>
      <c r="R226" s="3">
        <v>39.405000000000001</v>
      </c>
      <c r="S226" s="3">
        <v>38.017499999999998</v>
      </c>
      <c r="T226" s="3">
        <v>1525</v>
      </c>
      <c r="U226" s="3">
        <v>202575</v>
      </c>
      <c r="V226" s="3">
        <v>13875</v>
      </c>
    </row>
    <row r="227" spans="1:22" x14ac:dyDescent="0.25">
      <c r="A227" s="3">
        <v>10</v>
      </c>
      <c r="B227" s="3">
        <v>2019</v>
      </c>
      <c r="C227" s="2">
        <v>0.39</v>
      </c>
      <c r="D227" t="str">
        <f>IF(C227&gt;=0.5,"El Niño",IF(C227&lt;=-0.5,"La Niña","Neutro"))</f>
        <v>Neutro</v>
      </c>
      <c r="E227" s="2">
        <v>132.73834301552361</v>
      </c>
      <c r="F227" s="2">
        <v>43.918546953533749</v>
      </c>
      <c r="G227" s="2">
        <v>41.311708589119768</v>
      </c>
      <c r="H227" s="3">
        <v>0.41219020000000001</v>
      </c>
      <c r="I227" s="3">
        <v>0.14448900000000001</v>
      </c>
      <c r="J227" s="3">
        <v>0.1084514</v>
      </c>
      <c r="K227" s="3">
        <v>105.58659682496371</v>
      </c>
      <c r="L227" s="3">
        <v>38.937039435983117</v>
      </c>
      <c r="M227" s="3">
        <v>28.342882997848811</v>
      </c>
      <c r="N227" s="3">
        <v>46.38</v>
      </c>
      <c r="O227" s="3">
        <v>46.38</v>
      </c>
      <c r="P227" s="3">
        <v>25.73</v>
      </c>
      <c r="Q227" s="3">
        <v>34.422499999999999</v>
      </c>
      <c r="R227" s="3">
        <v>41.234999999999999</v>
      </c>
      <c r="S227" s="3">
        <v>40.119999999999997</v>
      </c>
      <c r="T227" s="3">
        <v>9275</v>
      </c>
      <c r="U227" s="3">
        <v>136550</v>
      </c>
      <c r="V227" s="3">
        <v>38025</v>
      </c>
    </row>
    <row r="228" spans="1:22" x14ac:dyDescent="0.25">
      <c r="A228" s="3">
        <v>11</v>
      </c>
      <c r="B228" s="3">
        <v>2019</v>
      </c>
      <c r="C228" s="2">
        <v>0.57999999999999996</v>
      </c>
      <c r="D228" t="str">
        <f>IF(C228&gt;=0.5,"El Niño",IF(C228&lt;=-0.5,"La Niña","Neutro"))</f>
        <v>El Niño</v>
      </c>
      <c r="E228" s="2">
        <v>117.9688351689019</v>
      </c>
      <c r="F228" s="2">
        <v>73.278189977139135</v>
      </c>
      <c r="G228" s="2">
        <v>47.82892160999581</v>
      </c>
      <c r="H228" s="3">
        <v>0.4348243</v>
      </c>
      <c r="I228" s="3">
        <v>0.3357637</v>
      </c>
      <c r="J228" s="3">
        <v>0.15007200000000001</v>
      </c>
      <c r="K228" s="3">
        <v>109.07422061532171</v>
      </c>
      <c r="L228" s="3">
        <v>73.477331573807263</v>
      </c>
      <c r="M228" s="3">
        <v>38.202244430385932</v>
      </c>
      <c r="N228" s="3">
        <v>65.180000000000007</v>
      </c>
      <c r="O228" s="3">
        <v>124.19</v>
      </c>
      <c r="P228" s="3">
        <v>44.38</v>
      </c>
      <c r="Q228" s="3">
        <v>35.325000000000003</v>
      </c>
      <c r="R228" s="3">
        <v>37.332500000000003</v>
      </c>
      <c r="S228" s="3">
        <v>40.22</v>
      </c>
      <c r="T228" s="3">
        <v>17675</v>
      </c>
      <c r="U228" s="3">
        <v>57750</v>
      </c>
      <c r="V228" s="3">
        <v>24575</v>
      </c>
    </row>
    <row r="229" spans="1:22" x14ac:dyDescent="0.25">
      <c r="A229" s="3">
        <v>12</v>
      </c>
      <c r="B229" s="3">
        <v>2019</v>
      </c>
      <c r="C229" s="2">
        <v>0.66</v>
      </c>
      <c r="D229" t="str">
        <f>IF(C229&gt;=0.5,"El Niño",IF(C229&lt;=-0.5,"La Niña","Neutro"))</f>
        <v>El Niño</v>
      </c>
      <c r="E229" s="2">
        <v>120.87885556125219</v>
      </c>
      <c r="F229" s="2">
        <v>82.275581256923331</v>
      </c>
      <c r="G229" s="2">
        <v>45.769570073830458</v>
      </c>
      <c r="H229" s="3">
        <v>0.42404829999999999</v>
      </c>
      <c r="I229" s="3">
        <v>0.31483159999999999</v>
      </c>
      <c r="J229" s="3">
        <v>0.14879510000000001</v>
      </c>
      <c r="K229" s="3">
        <v>100.88404529640491</v>
      </c>
      <c r="L229" s="3">
        <v>71.477485330556831</v>
      </c>
      <c r="M229" s="3">
        <v>35.891689950661849</v>
      </c>
      <c r="N229" s="3">
        <v>62.39</v>
      </c>
      <c r="O229" s="3">
        <v>77.59</v>
      </c>
      <c r="P229" s="3">
        <v>34.49</v>
      </c>
      <c r="Q229" s="3">
        <v>31.932500000000001</v>
      </c>
      <c r="R229" s="3">
        <v>35.244999999999997</v>
      </c>
      <c r="S229" s="3">
        <v>37.5075</v>
      </c>
      <c r="T229" s="3">
        <v>2325</v>
      </c>
      <c r="U229" s="3">
        <v>39400</v>
      </c>
      <c r="V229" s="3">
        <v>2800</v>
      </c>
    </row>
    <row r="230" spans="1:22" x14ac:dyDescent="0.25">
      <c r="A230" s="3">
        <v>1</v>
      </c>
      <c r="B230" s="3">
        <v>2020</v>
      </c>
      <c r="C230" s="2">
        <v>0.64</v>
      </c>
      <c r="D230" t="str">
        <f>IF(C230&gt;=0.5,"El Niño",IF(C230&lt;=-0.5,"La Niña","Neutro"))</f>
        <v>El Niño</v>
      </c>
      <c r="E230" s="2">
        <v>111.0857662165444</v>
      </c>
      <c r="F230" s="2">
        <v>111.2764801546387</v>
      </c>
      <c r="G230" s="2">
        <v>79.476797055462058</v>
      </c>
      <c r="H230" s="3">
        <v>0.49732159999999997</v>
      </c>
      <c r="I230" s="3">
        <v>0.4898092</v>
      </c>
      <c r="J230" s="3">
        <v>0.3365843</v>
      </c>
      <c r="K230" s="3">
        <v>104.66604250923371</v>
      </c>
      <c r="L230" s="3">
        <v>99.222265268731292</v>
      </c>
      <c r="M230" s="3">
        <v>69.675402934235706</v>
      </c>
      <c r="N230" s="3">
        <v>148.28</v>
      </c>
      <c r="O230" s="3">
        <v>280.52999999999997</v>
      </c>
      <c r="P230" s="3">
        <v>178.62</v>
      </c>
      <c r="Q230" s="3">
        <v>30.76226400000003</v>
      </c>
      <c r="R230" s="3">
        <v>30.72986666666668</v>
      </c>
      <c r="S230" s="3">
        <v>32.468600000000038</v>
      </c>
      <c r="T230" s="3">
        <v>2250</v>
      </c>
      <c r="U230" s="3">
        <v>575</v>
      </c>
      <c r="V230" s="3">
        <v>675</v>
      </c>
    </row>
    <row r="231" spans="1:22" x14ac:dyDescent="0.25">
      <c r="A231" s="3">
        <v>2</v>
      </c>
      <c r="B231" s="3">
        <v>2020</v>
      </c>
      <c r="C231" s="2">
        <v>0.63</v>
      </c>
      <c r="D231" t="str">
        <f>IF(C231&gt;=0.5,"El Niño",IF(C231&lt;=-0.5,"La Niña","Neutro"))</f>
        <v>El Niño</v>
      </c>
      <c r="E231" s="2">
        <v>133.7453005076886</v>
      </c>
      <c r="F231" s="2">
        <v>133.00950551545881</v>
      </c>
      <c r="G231" s="2">
        <v>130.1508741747723</v>
      </c>
      <c r="H231" s="3">
        <v>0.52624919999999997</v>
      </c>
      <c r="I231" s="3">
        <v>0.61106210000000005</v>
      </c>
      <c r="J231" s="3">
        <v>0.49331039999999998</v>
      </c>
      <c r="K231" s="3">
        <v>122.7901493962753</v>
      </c>
      <c r="L231" s="3">
        <v>131.51512122973111</v>
      </c>
      <c r="M231" s="3">
        <v>113.3123724104408</v>
      </c>
      <c r="N231" s="3">
        <v>36.5</v>
      </c>
      <c r="O231" s="3">
        <v>178.04</v>
      </c>
      <c r="P231" s="3">
        <v>69.42</v>
      </c>
      <c r="Q231" s="3">
        <v>30.178574450000031</v>
      </c>
      <c r="R231" s="3">
        <v>29.97780000000003</v>
      </c>
      <c r="S231" s="3">
        <v>30.645250000000029</v>
      </c>
      <c r="T231" s="3">
        <v>5475</v>
      </c>
      <c r="U231" s="3">
        <v>1200</v>
      </c>
      <c r="V231" s="3">
        <v>475</v>
      </c>
    </row>
    <row r="232" spans="1:22" x14ac:dyDescent="0.25">
      <c r="A232" s="3">
        <v>3</v>
      </c>
      <c r="B232" s="3">
        <v>2020</v>
      </c>
      <c r="C232" s="2">
        <v>0.53</v>
      </c>
      <c r="D232" t="str">
        <f>IF(C232&gt;=0.5,"El Niño",IF(C232&lt;=-0.5,"La Niña","Neutro"))</f>
        <v>El Niño</v>
      </c>
      <c r="E232" s="2">
        <v>112.41260721403491</v>
      </c>
      <c r="F232" s="2">
        <v>116.3626145312717</v>
      </c>
      <c r="G232" s="2">
        <v>113.5890532244764</v>
      </c>
      <c r="H232" s="3">
        <v>0.57657720000000001</v>
      </c>
      <c r="I232" s="3">
        <v>0.6680277</v>
      </c>
      <c r="J232" s="3">
        <v>0.54193400000000003</v>
      </c>
      <c r="K232" s="3">
        <v>111.952788048298</v>
      </c>
      <c r="L232" s="3">
        <v>111.2882539528802</v>
      </c>
      <c r="M232" s="3">
        <v>107.0226242032532</v>
      </c>
      <c r="N232" s="3">
        <v>194.14</v>
      </c>
      <c r="O232" s="3">
        <v>272.44</v>
      </c>
      <c r="P232" s="3">
        <v>196.88</v>
      </c>
      <c r="Q232" s="3">
        <v>28.166054450000029</v>
      </c>
      <c r="R232" s="3">
        <v>27.194550000000039</v>
      </c>
      <c r="S232" s="3">
        <v>28.84355000000004</v>
      </c>
      <c r="T232" s="3">
        <v>550</v>
      </c>
      <c r="U232" s="3">
        <v>53275</v>
      </c>
      <c r="V232" s="3">
        <v>400</v>
      </c>
    </row>
    <row r="233" spans="1:22" x14ac:dyDescent="0.25">
      <c r="A233" s="3">
        <v>4</v>
      </c>
      <c r="B233" s="3">
        <v>2020</v>
      </c>
      <c r="C233" s="2">
        <v>0.3</v>
      </c>
      <c r="D233" t="str">
        <f>IF(C233&gt;=0.5,"El Niño",IF(C233&lt;=-0.5,"La Niña","Neutro"))</f>
        <v>Neutro</v>
      </c>
      <c r="E233" s="2">
        <v>138.23667558430441</v>
      </c>
      <c r="F233" s="2">
        <v>135.78529540543221</v>
      </c>
      <c r="G233" s="2">
        <v>142.715550690322</v>
      </c>
      <c r="H233" s="3">
        <v>0.64285329999999996</v>
      </c>
      <c r="I233" s="3">
        <v>0.63544319999999999</v>
      </c>
      <c r="J233" s="3">
        <v>0.58086230000000005</v>
      </c>
      <c r="K233" s="3">
        <v>129.18122070302979</v>
      </c>
      <c r="L233" s="3">
        <v>126.93716211853391</v>
      </c>
      <c r="M233" s="3">
        <v>124.2310125326493</v>
      </c>
      <c r="N233" s="3">
        <v>117.81</v>
      </c>
      <c r="O233" s="3">
        <v>139.4</v>
      </c>
      <c r="P233" s="3">
        <v>118.01</v>
      </c>
      <c r="Q233" s="3">
        <v>27.506972725000029</v>
      </c>
      <c r="R233" s="3">
        <v>28.787000000000031</v>
      </c>
      <c r="S233" s="3">
        <v>27.85390000000001</v>
      </c>
      <c r="T233" s="3">
        <v>0</v>
      </c>
      <c r="U233" s="3">
        <v>18575</v>
      </c>
      <c r="V233" s="3">
        <v>250</v>
      </c>
    </row>
    <row r="234" spans="1:22" x14ac:dyDescent="0.25">
      <c r="A234" s="3">
        <v>5</v>
      </c>
      <c r="B234" s="3">
        <v>2020</v>
      </c>
      <c r="C234" s="2">
        <v>0.01</v>
      </c>
      <c r="D234" t="str">
        <f>IF(C234&gt;=0.5,"El Niño",IF(C234&lt;=-0.5,"La Niña","Neutro"))</f>
        <v>Neutro</v>
      </c>
      <c r="E234" s="2">
        <v>133.6489823099252</v>
      </c>
      <c r="F234" s="2">
        <v>145.43991892769881</v>
      </c>
      <c r="G234" s="2">
        <v>139.77257006900811</v>
      </c>
      <c r="H234" s="3">
        <v>0.71002200000000004</v>
      </c>
      <c r="I234" s="3">
        <v>0.6143402</v>
      </c>
      <c r="J234" s="3">
        <v>0.59685149999999998</v>
      </c>
      <c r="K234" s="3">
        <v>118.0698348162513</v>
      </c>
      <c r="L234" s="3">
        <v>113.4881344988176</v>
      </c>
      <c r="M234" s="3">
        <v>109.8840879800307</v>
      </c>
      <c r="N234" s="3">
        <v>105.52</v>
      </c>
      <c r="O234" s="3">
        <v>25.53</v>
      </c>
      <c r="P234" s="3">
        <v>48.39</v>
      </c>
      <c r="Q234" s="3">
        <v>25.228265700000019</v>
      </c>
      <c r="R234" s="3">
        <v>28.363300000000041</v>
      </c>
      <c r="S234" s="3">
        <v>26.88520000000003</v>
      </c>
      <c r="T234" s="3">
        <v>0</v>
      </c>
      <c r="U234" s="3">
        <v>11500</v>
      </c>
      <c r="V234" s="3">
        <v>625</v>
      </c>
    </row>
    <row r="235" spans="1:22" x14ac:dyDescent="0.25">
      <c r="A235" s="3">
        <v>6</v>
      </c>
      <c r="B235" s="3">
        <v>2020</v>
      </c>
      <c r="C235" s="2">
        <v>-0.23</v>
      </c>
      <c r="D235" t="str">
        <f>IF(C235&gt;=0.5,"El Niño",IF(C235&lt;=-0.5,"La Niña","Neutro"))</f>
        <v>Neutro</v>
      </c>
      <c r="E235" s="2">
        <v>140.86807903288599</v>
      </c>
      <c r="F235" s="2">
        <v>151.08987403325619</v>
      </c>
      <c r="G235" s="2">
        <v>138.3107681067865</v>
      </c>
      <c r="H235" s="3">
        <v>0.68356220000000001</v>
      </c>
      <c r="I235" s="3">
        <v>0.51271699999999998</v>
      </c>
      <c r="J235" s="3">
        <v>0.46618480000000001</v>
      </c>
      <c r="K235" s="3">
        <v>113.6094734585286</v>
      </c>
      <c r="L235" s="3">
        <v>92.994640911402215</v>
      </c>
      <c r="M235" s="3">
        <v>83.910185996553992</v>
      </c>
      <c r="N235" s="3">
        <v>75.66</v>
      </c>
      <c r="O235" s="3">
        <v>2.39</v>
      </c>
      <c r="P235" s="3">
        <v>37.159999999999997</v>
      </c>
      <c r="Q235" s="3">
        <v>24.556221500000021</v>
      </c>
      <c r="R235" s="3">
        <v>28.319900000000029</v>
      </c>
      <c r="S235" s="3">
        <v>26.750750000000021</v>
      </c>
      <c r="T235" s="3">
        <v>3025</v>
      </c>
      <c r="U235" s="3">
        <v>13250</v>
      </c>
      <c r="V235" s="3">
        <v>475</v>
      </c>
    </row>
    <row r="236" spans="1:22" x14ac:dyDescent="0.25">
      <c r="A236" s="3">
        <v>7</v>
      </c>
      <c r="B236" s="3">
        <v>2020</v>
      </c>
      <c r="C236" s="2">
        <v>-0.36</v>
      </c>
      <c r="D236" t="str">
        <f>IF(C236&gt;=0.5,"El Niño",IF(C236&lt;=-0.5,"La Niña","Neutro"))</f>
        <v>Neutro</v>
      </c>
      <c r="E236" s="2">
        <v>153.61512426227111</v>
      </c>
      <c r="F236" s="2">
        <v>129.2939450007768</v>
      </c>
      <c r="G236" s="2">
        <v>115.4155347765073</v>
      </c>
      <c r="H236" s="3">
        <v>0.64121709999999998</v>
      </c>
      <c r="I236" s="3">
        <v>0.34883049999999999</v>
      </c>
      <c r="J236" s="3">
        <v>0.3244609</v>
      </c>
      <c r="K236" s="3">
        <v>107.9490411546295</v>
      </c>
      <c r="L236" s="3">
        <v>65.184152763989445</v>
      </c>
      <c r="M236" s="3">
        <v>59.367630411983477</v>
      </c>
      <c r="N236" s="3">
        <v>57.78</v>
      </c>
      <c r="O236" s="3">
        <v>1.43</v>
      </c>
      <c r="P236" s="3">
        <v>32.56</v>
      </c>
      <c r="Q236" s="3">
        <v>23.886895475000021</v>
      </c>
      <c r="R236" s="3">
        <v>29.575800000000019</v>
      </c>
      <c r="S236" s="3">
        <v>27.360100000000021</v>
      </c>
      <c r="T236" s="3">
        <v>2450</v>
      </c>
      <c r="U236" s="3">
        <v>14775</v>
      </c>
      <c r="V236" s="3">
        <v>2875</v>
      </c>
    </row>
    <row r="237" spans="1:22" x14ac:dyDescent="0.25">
      <c r="A237" s="3">
        <v>8</v>
      </c>
      <c r="B237" s="3">
        <v>2020</v>
      </c>
      <c r="C237" s="2">
        <v>-0.53</v>
      </c>
      <c r="D237" t="str">
        <f>IF(C237&gt;=0.5,"El Niño",IF(C237&lt;=-0.5,"La Niña","Neutro"))</f>
        <v>La Niña</v>
      </c>
      <c r="E237" s="2">
        <v>159.6760802356107</v>
      </c>
      <c r="F237" s="2">
        <v>100.5395577544304</v>
      </c>
      <c r="G237" s="2">
        <v>94.533250167577293</v>
      </c>
      <c r="H237" s="3">
        <v>0.59031129999999998</v>
      </c>
      <c r="I237" s="3">
        <v>0.21229500000000001</v>
      </c>
      <c r="J237" s="3">
        <v>0.24167440000000001</v>
      </c>
      <c r="K237" s="3">
        <v>101.37795172151679</v>
      </c>
      <c r="L237" s="3">
        <v>48.183183410413491</v>
      </c>
      <c r="M237" s="3">
        <v>45.773146381899338</v>
      </c>
      <c r="N237" s="3">
        <v>59.25</v>
      </c>
      <c r="O237" s="3">
        <v>0.97</v>
      </c>
      <c r="P237" s="3">
        <v>18.03</v>
      </c>
      <c r="Q237" s="3">
        <v>24.36200765000001</v>
      </c>
      <c r="R237" s="3">
        <v>33.718750000000043</v>
      </c>
      <c r="S237" s="3">
        <v>30.275950000000019</v>
      </c>
      <c r="T237" s="3">
        <v>1550</v>
      </c>
      <c r="U237" s="3">
        <v>48775</v>
      </c>
      <c r="V237" s="3">
        <v>4600</v>
      </c>
    </row>
    <row r="238" spans="1:22" x14ac:dyDescent="0.25">
      <c r="A238" s="3">
        <v>9</v>
      </c>
      <c r="B238" s="3">
        <v>2020</v>
      </c>
      <c r="C238" s="2">
        <v>-0.85</v>
      </c>
      <c r="D238" t="str">
        <f>IF(C238&gt;=0.5,"El Niño",IF(C238&lt;=-0.5,"La Niña","Neutro"))</f>
        <v>La Niña</v>
      </c>
      <c r="E238" s="2">
        <v>162.20915921067339</v>
      </c>
      <c r="F238" s="2">
        <v>56.37210753681849</v>
      </c>
      <c r="G238" s="2">
        <v>66.430015986150153</v>
      </c>
      <c r="H238" s="3">
        <v>0.45542260000000001</v>
      </c>
      <c r="I238" s="3">
        <v>0.12889700000000001</v>
      </c>
      <c r="J238" s="3">
        <v>0.14482999999999999</v>
      </c>
      <c r="K238" s="3">
        <v>106.0454971592293</v>
      </c>
      <c r="L238" s="3">
        <v>34.590296778775922</v>
      </c>
      <c r="M238" s="3">
        <v>35.564285055203122</v>
      </c>
      <c r="N238" s="3">
        <v>24.51</v>
      </c>
      <c r="O238" s="3">
        <v>3.85</v>
      </c>
      <c r="P238" s="3">
        <v>11.18</v>
      </c>
      <c r="Q238" s="3">
        <v>28.24330030000003</v>
      </c>
      <c r="R238" s="3">
        <v>38.95595000000003</v>
      </c>
      <c r="S238" s="3">
        <v>35.116800000000033</v>
      </c>
      <c r="T238" s="3">
        <v>2375</v>
      </c>
      <c r="U238" s="3">
        <v>120675</v>
      </c>
      <c r="V238" s="3">
        <v>40075</v>
      </c>
    </row>
    <row r="239" spans="1:22" x14ac:dyDescent="0.25">
      <c r="A239" s="3">
        <v>10</v>
      </c>
      <c r="B239" s="3">
        <v>2020</v>
      </c>
      <c r="C239" s="2">
        <v>-1.1200000000000001</v>
      </c>
      <c r="D239" t="str">
        <f>IF(C239&gt;=0.5,"El Niño",IF(C239&lt;=-0.5,"La Niña","Neutro"))</f>
        <v>La Niña</v>
      </c>
      <c r="E239" s="2">
        <v>112.925825234859</v>
      </c>
      <c r="F239" s="2">
        <v>58.961646627267172</v>
      </c>
      <c r="G239" s="2">
        <v>49.227299847613168</v>
      </c>
      <c r="H239" s="3">
        <v>0.53713279999999997</v>
      </c>
      <c r="I239" s="3">
        <v>0.30368030000000001</v>
      </c>
      <c r="J239" s="3">
        <v>0.2033971</v>
      </c>
      <c r="K239" s="3">
        <v>103.44664106887041</v>
      </c>
      <c r="L239" s="3">
        <v>61.310678022873837</v>
      </c>
      <c r="M239" s="3">
        <v>46.637282234588092</v>
      </c>
      <c r="N239" s="3">
        <v>124.2</v>
      </c>
      <c r="O239" s="3">
        <v>92.51</v>
      </c>
      <c r="P239" s="3">
        <v>61.09</v>
      </c>
      <c r="Q239" s="3">
        <v>29.947660475000021</v>
      </c>
      <c r="R239" s="3">
        <v>38.297550000000022</v>
      </c>
      <c r="S239" s="3">
        <v>37.269950000000037</v>
      </c>
      <c r="T239" s="3">
        <v>8125</v>
      </c>
      <c r="U239" s="3">
        <v>435650</v>
      </c>
      <c r="V239" s="3">
        <v>126825</v>
      </c>
    </row>
    <row r="240" spans="1:22" x14ac:dyDescent="0.25">
      <c r="A240" s="3">
        <v>11</v>
      </c>
      <c r="B240" s="3">
        <v>2020</v>
      </c>
      <c r="C240" s="2">
        <v>-1.2</v>
      </c>
      <c r="D240" t="str">
        <f>IF(C240&gt;=0.5,"El Niño",IF(C240&lt;=-0.5,"La Niña","Neutro"))</f>
        <v>La Niña</v>
      </c>
      <c r="E240" s="2">
        <v>157.8881830377278</v>
      </c>
      <c r="F240" s="2">
        <v>119.4072583720569</v>
      </c>
      <c r="G240" s="2">
        <v>115.3222079091659</v>
      </c>
      <c r="H240" s="3">
        <v>0.55959449999999999</v>
      </c>
      <c r="I240" s="3">
        <v>0.44777899999999998</v>
      </c>
      <c r="J240" s="3">
        <v>0.42045870000000002</v>
      </c>
      <c r="K240" s="3">
        <v>126.6255706391978</v>
      </c>
      <c r="L240" s="3">
        <v>104.2947415998773</v>
      </c>
      <c r="M240" s="3">
        <v>105.0317124697479</v>
      </c>
      <c r="N240" s="3">
        <v>150.66</v>
      </c>
      <c r="O240" s="3">
        <v>187.14</v>
      </c>
      <c r="P240" s="3">
        <v>148.1</v>
      </c>
      <c r="Q240" s="3">
        <v>28.569144875000021</v>
      </c>
      <c r="R240" s="3">
        <v>33.386250000000047</v>
      </c>
      <c r="S240" s="3">
        <v>30.651800000000019</v>
      </c>
      <c r="T240" s="3">
        <v>0</v>
      </c>
      <c r="U240" s="3">
        <v>28075</v>
      </c>
      <c r="V240" s="3">
        <v>250</v>
      </c>
    </row>
    <row r="241" spans="1:22" x14ac:dyDescent="0.25">
      <c r="A241" s="3">
        <v>12</v>
      </c>
      <c r="B241" s="3">
        <v>2020</v>
      </c>
      <c r="C241" s="2">
        <v>-1.08</v>
      </c>
      <c r="D241" t="str">
        <f>IF(C241&gt;=0.5,"El Niño",IF(C241&lt;=-0.5,"La Niña","Neutro"))</f>
        <v>La Niña</v>
      </c>
      <c r="E241" s="2">
        <v>159.3101040433906</v>
      </c>
      <c r="F241" s="2">
        <v>118.4076151063242</v>
      </c>
      <c r="G241" s="2">
        <v>91.900046716690696</v>
      </c>
      <c r="H241" s="3">
        <v>0.50181830000000005</v>
      </c>
      <c r="I241" s="3">
        <v>0.41420820000000003</v>
      </c>
      <c r="J241" s="3">
        <v>0.34552139999999998</v>
      </c>
      <c r="K241" s="3">
        <v>128.2744747741514</v>
      </c>
      <c r="L241" s="3">
        <v>101.62366663438181</v>
      </c>
      <c r="M241" s="3">
        <v>90.447211800628295</v>
      </c>
      <c r="N241" s="3">
        <v>22.49</v>
      </c>
      <c r="O241" s="3">
        <v>102.44</v>
      </c>
      <c r="P241" s="3">
        <v>13.06</v>
      </c>
      <c r="Q241" s="3">
        <v>29.302884700000021</v>
      </c>
      <c r="R241" s="3">
        <v>34.230850000000032</v>
      </c>
      <c r="S241" s="3">
        <v>32.287350000000018</v>
      </c>
      <c r="T241" s="3">
        <v>275</v>
      </c>
      <c r="U241" s="3">
        <v>10475</v>
      </c>
      <c r="V241" s="3">
        <v>4600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graficos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ygor augusto</cp:lastModifiedBy>
  <dcterms:created xsi:type="dcterms:W3CDTF">2025-11-30T03:35:58Z</dcterms:created>
  <dcterms:modified xsi:type="dcterms:W3CDTF">2026-03-03T00:35:21Z</dcterms:modified>
</cp:coreProperties>
</file>